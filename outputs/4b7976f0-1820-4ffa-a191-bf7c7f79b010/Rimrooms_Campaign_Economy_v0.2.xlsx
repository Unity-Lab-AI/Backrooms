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25a09c3c854b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conomy" sheetId="1" r:id="R5547e6f4b1774270"/>
    <x:sheet xmlns:r="http://schemas.openxmlformats.org/officeDocument/2006/relationships" name="Campaign Scenarios" sheetId="2" r:id="R28d3f3c5255148ea"/>
    <x:sheet xmlns:r="http://schemas.openxmlformats.org/officeDocument/2006/relationships" name="Bulk Logistics" sheetId="3" r:id="R53a1a24b56974702"/>
    <x:sheet xmlns:r="http://schemas.openxmlformats.org/officeDocument/2006/relationships" name="Recovery &amp; Capital" sheetId="4" r:id="R3a73f3317acf444c"/>
    <x:sheet xmlns:r="http://schemas.openxmlformats.org/officeDocument/2006/relationships" name="Extended Cases" sheetId="5" r:id="Rcef147d392b242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;(#,##0);-"/>
    <x:numFmt numFmtId="201" formatCode="#,##0.0"/>
    <x:numFmt numFmtId="202" formatCode="0.0"/>
    <x:numFmt numFmtId="203" formatCode="$#,##0;($#,##0);-"/>
    <x:numFmt numFmtId="204" formatCode="#,##0"/>
    <x:numFmt numFmtId="205" formatCode="0"/>
  </x:numFmts>
  <x:fonts count="17">
    <x:font>
      <x:sz val="11"/>
      <x:name val="Carlito"/>
    </x:font>
    <x:font>
      <x:sz val="10"/>
      <x:color rgb="FF1F2937"/>
      <x:name val="Arial"/>
    </x:font>
    <x:font>
      <x:b/>
      <x:sz val="14"/>
      <x:color rgb="FF182C3D"/>
      <x:name val="Arial"/>
    </x:font>
    <x:font>
      <x:i/>
      <x:sz val="10"/>
      <x:color rgb="FF526170"/>
      <x:name val="Arial"/>
    </x:font>
    <x:font>
      <x:b/>
      <x:sz val="10"/>
      <x:color rgb="FF182C3D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i/>
      <x:sz val="9"/>
      <x:color rgb="FF526170"/>
      <x:name val="Arial"/>
    </x:font>
    <x:font>
      <x:sz val="10"/>
      <x:color rgb="FF008000"/>
      <x:name val="Arial"/>
    </x:font>
    <x:font>
      <x:b/>
      <x:sz val="10"/>
      <x:color rgb="FF1F2937"/>
      <x:name val="Arial"/>
    </x:font>
    <x:font>
      <x:i/>
      <x:sz val="10"/>
      <x:color rgb="FF1F2937"/>
      <x:name val="Arial"/>
    </x:font>
    <x:font>
      <x:b/>
      <x:sz val="10"/>
      <x:color rgb="FF000000"/>
      <x:name val="Arial"/>
    </x:font>
    <x:font>
      <x:i/>
      <x:sz val="9"/>
      <x:color rgb="FF555555"/>
      <x:name val="Arial"/>
    </x:font>
    <x:font>
      <x:b/>
      <x:sz val="15"/>
      <x:color rgb="FF0F243E"/>
      <x:name val="Arial"/>
    </x:font>
    <x:font>
      <x:b/>
      <x:sz val="9"/>
      <x:color rgb="FFFFFFFF"/>
      <x:name val="Arial"/>
    </x:font>
    <x:font>
      <x:sz val="10"/>
      <x:color rgb="FF000000"/>
      <x:name val="Arial"/>
    </x:font>
    <x:font>
      <x:sz val="9"/>
      <x:color rgb="FF555555"/>
      <x:name val="Arial"/>
    </x:font>
  </x:fonts>
  <x:fills count="38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D9E5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5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5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5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5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5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5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5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5F2"/>
      </x:patternFill>
    </x:fill>
    <x:fill>
      <x:patternFill patternType="solid">
        <x:fgColor rgb="FFFFF2CC"/>
      </x:patternFill>
    </x:fill>
  </x:fills>
  <x:borders count="7">
    <x:border/>
    <x:border>
      <x:bottom style="double">
        <x:color rgb="FF1F4E78"/>
      </x:bottom>
    </x:border>
    <x:border>
      <x:bottom style="thin">
        <x:color rgb="FF8EAADB"/>
      </x:bottom>
    </x:border>
    <x:border>
      <x:bottom style="thin">
        <x:color rgb="FFE2E8F0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37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/>
    <x:xf numFmtId="202" fontId="6" fillId="4" borderId="0" xfId="0" applyNumberFormat="1" applyFont="1" applyFill="1" applyBorder="1"/>
    <x:xf numFmtId="200" fontId="6" fillId="4" borderId="0" xfId="0" applyNumberFormat="1" applyFont="1" applyFill="1" applyBorder="1" applyAlignment="1">
      <x:alignment horizontal="right"/>
    </x:xf>
    <x:xf numFmtId="202" fontId="6" fillId="4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horizontal="right" vertical="center"/>
    </x:xf>
    <x:xf numFmtId="202" fontId="6" fillId="4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horizontal="right" vertical="center"/>
    </x:xf>
    <x:xf numFmtId="200" fontId="6" fillId="7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horizontal="right" vertical="center"/>
    </x:xf>
    <x:xf numFmtId="200" fontId="8" fillId="7" borderId="0" xfId="0" applyNumberFormat="1" applyFont="1" applyFill="1" applyBorder="1" applyAlignment="1">
      <x:alignment horizontal="right" vertical="center"/>
    </x:xf>
    <x:xf numFmtId="200" fontId="8" fillId="0" borderId="0" xfId="0" applyNumberFormat="1" applyFont="1" applyFill="1" applyBorder="1" applyAlignment="1">
      <x:alignment vertical="center"/>
    </x:xf>
    <x:xf numFmtId="0" fontId="1" fillId="0" xfId="0" applyNumberFormat="1" applyFont="1" applyFill="1" applyBorder="0" applyAlignment="1">
      <x:alignment vertical="center"/>
    </x:xf>
    <x:xf numFmtId="200" fontId="8" fillId="0" xfId="0" applyNumberFormat="1" applyFont="1" applyFill="1" applyBorder="0" applyAlignment="1">
      <x:alignment vertical="center"/>
    </x:xf>
    <x:xf numFmtId="200" fontId="1" fillId="0" xfId="0" applyNumberFormat="1" applyFont="1" applyFill="1" applyBorder="0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4" fillId="5" borderId="0" xfId="0" applyNumberFormat="1" applyFont="1" applyFill="1" applyBorder="1" applyAlignment="1">
      <x:alignment vertical="center" wrapText="0"/>
    </x:xf>
    <x:xf numFmtId="0" fontId="5" fillId="6" borderId="0" xfId="0" applyNumberFormat="1" applyFont="1" applyFill="1" applyBorder="1" applyAlignment="1">
      <x:alignment horizontal="center" vertical="center" wrapText="0"/>
    </x:xf>
    <x:xf numFmtId="200" fontId="1" fillId="0" xfId="0" applyNumberFormat="1" applyFont="1" applyFill="1" applyBorder="0" applyAlignment="1">
      <x:alignment vertical="center" wrapText="0"/>
    </x:xf>
    <x:xf numFmtId="200" fontId="1" fillId="0" borderId="3" xfId="0" applyNumberFormat="1" applyFont="1" applyFill="1" applyBorder="1" applyAlignment="1">
      <x:alignment vertical="center" wrapText="0"/>
    </x:xf>
    <x:xf numFmtId="0" fontId="4" fillId="0" borderId="2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0"/>
    </x:xf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9" fillId="2" borderId="0" xfId="0" applyNumberFormat="1" applyFont="1" applyFill="1" applyBorder="1"/>
    <x:xf numFmtId="0" fontId="9" fillId="3" borderId="0" xfId="0" applyNumberFormat="1" applyFont="1" applyFill="1" applyBorder="1"/>
    <x:xf numFmtId="0" fontId="9" fillId="0" borderId="1" xfId="0" applyNumberFormat="1" applyFont="1" applyFill="1" applyBorder="1" applyAlignment="1">
      <x:alignment vertical="center" wrapText="1"/>
    </x:xf>
    <x:xf numFmtId="200" fontId="9" fillId="0" borderId="1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vertical="center"/>
    </x:xf>
    <x:xf numFmtId="200" fontId="6" fillId="9" borderId="0" xfId="0" applyNumberFormat="1" applyFont="1" applyFill="1" applyBorder="1" applyAlignment="1">
      <x:alignment horizontal="right" vertical="center"/>
    </x:xf>
    <x:xf numFmtId="202" fontId="6" fillId="9" borderId="0" xfId="0" applyNumberFormat="1" applyFont="1" applyFill="1" applyBorder="1" applyAlignment="1">
      <x:alignment horizontal="right" vertical="center"/>
    </x:xf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6" fillId="9" borderId="0" xfId="0" applyNumberFormat="1" applyFont="1" applyFill="1" applyBorder="1" applyAlignment="1">
      <x:alignment horizontal="right" vertical="center" wrapText="1"/>
    </x:xf>
    <x:xf numFmtId="0" fontId="9" fillId="0" borderId="0" xfId="0" applyNumberFormat="1" applyFont="1" applyFill="1" applyBorder="1" applyAlignment="1">
      <x:alignment vertical="center" wrapText="0"/>
    </x:xf>
    <x:xf numFmtId="0" fontId="10" fillId="0" borderId="0" xfId="0" applyNumberFormat="1" applyFont="1" applyFill="1" applyBorder="1" applyAlignment="1">
      <x:alignment vertical="center" wrapText="0"/>
    </x:xf>
    <x:xf numFmtId="0" fontId="9" fillId="2" borderId="0" xfId="0" applyNumberFormat="1" applyFont="1" applyFill="1" applyBorder="1" applyAlignment="1">
      <x:alignment vertical="center" wrapText="0"/>
    </x:xf>
    <x:xf numFmtId="0" fontId="9" fillId="3" borderId="0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 applyAlignment="1">
      <x:alignment horizontal="center" vertical="center" wrapText="0"/>
    </x:xf>
    <x:xf numFmtId="200" fontId="1" fillId="4" borderId="0" xfId="0" applyNumberFormat="1" applyFont="1" applyFill="1" applyBorder="1" applyAlignment="1">
      <x:alignment horizontal="right" vertical="center"/>
    </x:xf>
    <x:xf numFmtId="0" fontId="9" fillId="0" borderId="2" xfId="0" applyNumberFormat="1" applyFont="1" applyFill="1" applyBorder="1" applyAlignment="1">
      <x:alignment vertical="center"/>
    </x:xf>
    <x:xf numFmtId="200" fontId="9" fillId="0" borderId="2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 wrapText="0"/>
    </x:xf>
    <x:xf numFmtId="200" fontId="9" fillId="0" borderId="0" xfId="0" applyNumberFormat="1" applyFont="1" applyFill="1" applyBorder="1" applyAlignment="1">
      <x:alignment vertical="center"/>
    </x:xf>
    <x:xf numFmtId="0" fontId="9" fillId="10" borderId="0" xfId="0" applyNumberFormat="1" applyFont="1" applyFill="1" applyBorder="1" applyAlignment="1">
      <x:alignment vertical="center"/>
    </x:xf>
    <x:xf numFmtId="0" fontId="9" fillId="10" borderId="0" xfId="0" applyNumberFormat="1" applyFont="1" applyFill="1" applyBorder="1" applyAlignment="1">
      <x:alignment vertical="center" wrapText="0"/>
    </x:xf>
    <x:xf numFmtId="0" fontId="4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 wrapText="0"/>
    </x:xf>
    <x:xf numFmtId="0" fontId="9" fillId="8" borderId="0" xfId="0" applyNumberFormat="1" applyFont="1" applyFill="1" applyBorder="1" applyAlignment="1">
      <x:alignment horizontal="center" vertical="center"/>
    </x:xf>
    <x:xf numFmtId="0" fontId="9" fillId="8" borderId="0" xfId="0" applyNumberFormat="1" applyFont="1" applyFill="1" applyBorder="1" applyAlignment="1">
      <x:alignment horizontal="center" vertical="center" wrapText="0"/>
    </x:xf>
    <x:xf numFmtId="0" fontId="5" fillId="8" borderId="0" xfId="0" applyNumberFormat="1" applyFont="1" applyFill="1" applyBorder="1" applyAlignment="1">
      <x:alignment horizontal="center" vertical="center"/>
    </x:xf>
    <x:xf numFmtId="0" fontId="5" fillId="8" borderId="0" xfId="0" applyNumberFormat="1" applyFont="1" applyFill="1" applyBorder="1" applyAlignment="1">
      <x:alignment horizontal="center" vertical="center" wrapText="0"/>
    </x:xf>
    <x:xf numFmtId="203" fontId="1" fillId="0" xfId="0" applyNumberFormat="1" applyFont="1" applyFill="1" applyBorder="0" applyAlignment="1">
      <x:alignment vertical="center"/>
    </x:xf>
    <x:xf numFmtId="203" fontId="1" fillId="0" borderId="3" xfId="0" applyNumberFormat="1" applyFont="1" applyFill="1" applyBorder="1" applyAlignment="1">
      <x:alignment vertical="center"/>
    </x:xf>
    <x:xf numFmtId="200" fontId="1" fillId="9" borderId="0" xfId="0" applyNumberFormat="1" applyFont="1" applyFill="1" applyBorder="1" applyAlignment="1">
      <x:alignment horizontal="right" vertical="center"/>
    </x:xf>
    <x:xf numFmtId="200" fontId="8" fillId="9" borderId="0" xfId="0" applyNumberFormat="1" applyFont="1" applyFill="1" applyBorder="1" applyAlignment="1">
      <x:alignment horizontal="right" vertical="center"/>
    </x:xf>
    <x:xf numFmtId="203" fontId="8" fillId="9" borderId="0" xfId="0" applyNumberFormat="1" applyFont="1" applyFill="1" applyBorder="1" applyAlignment="1">
      <x:alignment horizontal="right" vertical="center"/>
    </x:xf>
    <x:xf numFmtId="203" fontId="6" fillId="9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9" fillId="0" borderId="2" xfId="0" applyNumberFormat="1" applyFont="1" applyFill="1" applyBorder="1" applyAlignment="1">
      <x:alignment vertical="center"/>
    </x:xf>
    <x:xf numFmtId="203" fontId="9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10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200" fontId="1" fillId="0" xfId="0" applyNumberFormat="1" applyFont="1" applyFill="1" applyBorder="0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5" fillId="11" borderId="0" xfId="0" applyNumberFormat="1" applyFont="1" applyFill="1" applyBorder="1" applyAlignment="1">
      <x:alignment vertical="center"/>
    </x:xf>
    <x:xf numFmtId="0" fontId="5" fillId="11" borderId="0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1" fillId="0" borderId="1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203" fontId="8" fillId="0" borderId="1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horizontal="right"/>
    </x:xf>
    <x:xf numFmtId="0" fontId="13" fillId="0" borderId="0" xfId="0" applyNumberFormat="1" applyFont="1" applyFill="1" applyBorder="1"/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/>
    <x:xf numFmtId="0" fontId="14" fillId="11" borderId="0" xfId="0" applyNumberFormat="1" applyFont="1" applyFill="1" applyBorder="1"/>
    <x:xf numFmtId="0" fontId="14" fillId="11" borderId="0" xfId="0" applyNumberFormat="1" applyFont="1" applyFill="1" applyBorder="1" applyAlignment="1">
      <x:alignment wrapText="1"/>
    </x:xf>
    <x:xf numFmtId="0" fontId="14" fillId="11" borderId="0" xfId="0" applyNumberFormat="1" applyFont="1" applyFill="1" applyBorder="1" applyAlignment="1">
      <x:alignment horizontal="center" wrapText="1"/>
    </x:xf>
    <x:xf numFmtId="0" fontId="14" fillId="11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vertical="center" wrapText="1"/>
    </x:xf>
    <x:xf numFmtId="203" fontId="6" fillId="13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203" fontId="15" fillId="0" borderId="0" xfId="0" applyNumberFormat="1" applyFont="1" applyFill="1" applyBorder="1" applyAlignment="1">
      <x:alignment vertical="center"/>
    </x:xf>
    <x:xf numFmtId="202" fontId="6" fillId="13" borderId="0" xfId="0" applyNumberFormat="1" applyFont="1" applyFill="1" applyBorder="1" applyAlignment="1">
      <x:alignment vertical="center"/>
    </x:xf>
    <x:xf numFmtId="205" fontId="6" fillId="13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0" fontId="14" fillId="11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/>
    </x:xf>
    <x:xf numFmtId="202" fontId="6" fillId="13" borderId="5" xfId="0" applyNumberFormat="1" applyFont="1" applyFill="1" applyBorder="1" applyAlignment="1">
      <x:alignment vertical="center"/>
    </x:xf>
    <x:xf numFmtId="203" fontId="6" fillId="13" borderId="5" xfId="0" applyNumberFormat="1" applyFont="1" applyFill="1" applyBorder="1" applyAlignment="1">
      <x:alignment vertical="center"/>
    </x:xf>
    <x:xf numFmtId="205" fontId="6" fillId="13" borderId="5" xfId="0" applyNumberFormat="1" applyFont="1" applyFill="1" applyBorder="1" applyAlignment="1">
      <x:alignment vertical="center"/>
    </x:xf>
    <x:xf numFmtId="203" fontId="8" fillId="0" borderId="5" xfId="0" applyNumberFormat="1" applyFont="1" applyFill="1" applyBorder="1" applyAlignment="1">
      <x:alignment vertical="center"/>
    </x:xf>
    <x:xf numFmtId="0" fontId="16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/>
    </x:xf>
    <x:xf numFmtId="202" fontId="6" fillId="13" borderId="6" xfId="0" applyNumberFormat="1" applyFont="1" applyFill="1" applyBorder="1" applyAlignment="1">
      <x:alignment vertical="center"/>
    </x:xf>
    <x:xf numFmtId="203" fontId="6" fillId="13" borderId="6" xfId="0" applyNumberFormat="1" applyFont="1" applyFill="1" applyBorder="1" applyAlignment="1">
      <x:alignment vertical="center"/>
    </x:xf>
    <x:xf numFmtId="205" fontId="6" fillId="13" borderId="6" xfId="0" applyNumberFormat="1" applyFont="1" applyFill="1" applyBorder="1" applyAlignment="1">
      <x:alignment vertical="center"/>
    </x:xf>
    <x:xf numFmtId="203" fontId="8" fillId="0" borderId="6" xfId="0" applyNumberFormat="1" applyFont="1" applyFill="1" applyBorder="1" applyAlignment="1">
      <x:alignment vertical="center"/>
    </x:xf>
    <x:xf numFmtId="0" fontId="16" fillId="0" borderId="6" xfId="0" applyNumberFormat="1" applyFont="1" applyFill="1" applyBorder="1" applyAlignment="1">
      <x:alignment vertical="center" wrapText="1"/>
    </x:xf>
    <x:xf numFmtId="203" fontId="15" fillId="0" borderId="5" xfId="0" applyNumberFormat="1" applyFont="1" applyFill="1" applyBorder="1" applyAlignment="1">
      <x:alignment vertical="center"/>
    </x:xf>
    <x:xf numFmtId="203" fontId="15" fillId="0" borderId="6" xfId="0" applyNumberFormat="1" applyFont="1" applyFill="1" applyBorder="1" applyAlignment="1">
      <x:alignment vertical="center"/>
    </x:xf>
    <x:xf numFmtId="0" fontId="5" fillId="14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9" fillId="3" borderId="4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 applyAlignment="1">
      <x:alignment horizontal="center" vertical="center" wrapText="1"/>
    </x:xf>
    <x:xf numFmtId="202" fontId="1" fillId="4" borderId="5" xfId="0" applyNumberFormat="1" applyFont="1" applyFill="1" applyBorder="1" applyAlignment="1">
      <x:alignment vertical="center"/>
    </x:xf>
    <x:xf numFmtId="203" fontId="1" fillId="4" borderId="5" xfId="0" applyNumberFormat="1" applyFont="1" applyFill="1" applyBorder="1" applyAlignment="1">
      <x:alignment vertical="center"/>
    </x:xf>
    <x:xf numFmtId="205" fontId="1" fillId="4" borderId="5" xfId="0" applyNumberFormat="1" applyFont="1" applyFill="1" applyBorder="1" applyAlignment="1">
      <x:alignment vertical="center"/>
    </x:xf>
    <x:xf numFmtId="203" fontId="1" fillId="0" borderId="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 wrapText="1"/>
    </x:xf>
    <x:xf numFmtId="202" fontId="1" fillId="4" borderId="6" xfId="0" applyNumberFormat="1" applyFont="1" applyFill="1" applyBorder="1" applyAlignment="1">
      <x:alignment vertical="center"/>
    </x:xf>
    <x:xf numFmtId="203" fontId="1" fillId="4" borderId="6" xfId="0" applyNumberFormat="1" applyFont="1" applyFill="1" applyBorder="1" applyAlignment="1">
      <x:alignment vertical="center"/>
    </x:xf>
    <x:xf numFmtId="205" fontId="1" fillId="4" borderId="6" xfId="0" applyNumberFormat="1" applyFont="1" applyFill="1" applyBorder="1" applyAlignment="1">
      <x:alignment vertical="center"/>
    </x:xf>
    <x:xf numFmtId="203" fontId="1" fillId="0" borderId="6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 wrapText="1"/>
    </x:xf>
    <x:xf numFmtId="0" fontId="9" fillId="15" borderId="0" xfId="0" applyNumberFormat="1" applyFont="1" applyFill="1" applyBorder="1" applyAlignment="1">
      <x:alignment vertical="center"/>
    </x:xf>
    <x:xf numFmtId="0" fontId="9" fillId="14" borderId="4" xfId="0" applyNumberFormat="1" applyFont="1" applyFill="1" applyBorder="1" applyAlignment="1">
      <x:alignment horizontal="center" vertical="center" wrapText="1"/>
    </x:xf>
    <x:xf numFmtId="0" fontId="9" fillId="14" borderId="0" xfId="0" applyNumberFormat="1" applyFont="1" applyFill="1" applyBorder="1" applyAlignment="1">
      <x:alignment horizontal="center" vertical="center" wrapText="1"/>
    </x:xf>
    <x:xf numFmtId="0" fontId="14" fillId="14" borderId="4" xfId="0" applyNumberFormat="1" applyFont="1" applyFill="1" applyBorder="1" applyAlignment="1">
      <x:alignment horizontal="center" vertical="center" wrapText="1"/>
    </x:xf>
    <x:xf numFmtId="0" fontId="14" fillId="14" borderId="0" xfId="0" applyNumberFormat="1" applyFont="1" applyFill="1" applyBorder="1" applyAlignment="1">
      <x:alignment horizontal="center" vertical="center" wrapText="1"/>
    </x:xf>
    <x:xf numFmtId="202" fontId="1" fillId="16" borderId="5" xfId="0" applyNumberFormat="1" applyFont="1" applyFill="1" applyBorder="1" applyAlignment="1">
      <x:alignment vertical="center"/>
    </x:xf>
    <x:xf numFmtId="203" fontId="1" fillId="16" borderId="5" xfId="0" applyNumberFormat="1" applyFont="1" applyFill="1" applyBorder="1" applyAlignment="1">
      <x:alignment vertical="center"/>
    </x:xf>
    <x:xf numFmtId="205" fontId="1" fillId="16" borderId="5" xfId="0" applyNumberFormat="1" applyFont="1" applyFill="1" applyBorder="1" applyAlignment="1">
      <x:alignment vertical="center"/>
    </x:xf>
    <x:xf numFmtId="202" fontId="1" fillId="16" borderId="6" xfId="0" applyNumberFormat="1" applyFont="1" applyFill="1" applyBorder="1" applyAlignment="1">
      <x:alignment vertical="center"/>
    </x:xf>
    <x:xf numFmtId="203" fontId="1" fillId="16" borderId="6" xfId="0" applyNumberFormat="1" applyFont="1" applyFill="1" applyBorder="1" applyAlignment="1">
      <x:alignment vertical="center"/>
    </x:xf>
    <x:xf numFmtId="205" fontId="1" fillId="16" borderId="6" xfId="0" applyNumberFormat="1" applyFont="1" applyFill="1" applyBorder="1" applyAlignment="1">
      <x:alignment vertical="center"/>
    </x:xf>
    <x:xf numFmtId="202" fontId="6" fillId="16" borderId="5" xfId="0" applyNumberFormat="1" applyFont="1" applyFill="1" applyBorder="1" applyAlignment="1">
      <x:alignment vertical="center"/>
    </x:xf>
    <x:xf numFmtId="203" fontId="6" fillId="16" borderId="5" xfId="0" applyNumberFormat="1" applyFont="1" applyFill="1" applyBorder="1" applyAlignment="1">
      <x:alignment vertical="center"/>
    </x:xf>
    <x:xf numFmtId="205" fontId="6" fillId="16" borderId="5" xfId="0" applyNumberFormat="1" applyFont="1" applyFill="1" applyBorder="1" applyAlignment="1">
      <x:alignment vertical="center"/>
    </x:xf>
    <x:xf numFmtId="202" fontId="6" fillId="16" borderId="6" xfId="0" applyNumberFormat="1" applyFont="1" applyFill="1" applyBorder="1" applyAlignment="1">
      <x:alignment vertical="center"/>
    </x:xf>
    <x:xf numFmtId="203" fontId="6" fillId="16" borderId="6" xfId="0" applyNumberFormat="1" applyFont="1" applyFill="1" applyBorder="1" applyAlignment="1">
      <x:alignment vertical="center"/>
    </x:xf>
    <x:xf numFmtId="205" fontId="6" fillId="16" borderId="6" xfId="0" applyNumberFormat="1" applyFont="1" applyFill="1" applyBorder="1" applyAlignment="1">
      <x:alignment vertical="center"/>
    </x:xf>
    <x:xf numFmtId="0" fontId="5" fillId="17" borderId="0" xfId="0" applyNumberFormat="1" applyFont="1" applyFill="1" applyBorder="1" applyAlignment="1">
      <x:alignment horizontal="center" vertical="center" wrapText="1"/>
    </x:xf>
    <x:xf numFmtId="0" fontId="1" fillId="18" borderId="0" xfId="0" applyNumberFormat="1" applyFont="1" applyFill="1" applyBorder="1" applyAlignment="1">
      <x:alignment vertical="center"/>
    </x:xf>
    <x:xf numFmtId="0" fontId="1" fillId="18" borderId="0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9" fillId="18" borderId="0" xfId="0" applyNumberFormat="1" applyFont="1" applyFill="1" applyBorder="1" applyAlignment="1">
      <x:alignment vertical="center"/>
    </x:xf>
    <x:xf numFmtId="0" fontId="9" fillId="18" borderId="0" xfId="0" applyNumberFormat="1" applyFont="1" applyFill="1" applyBorder="1" applyAlignment="1">
      <x:alignment vertical="center" wrapText="1"/>
    </x:xf>
    <x:xf numFmtId="0" fontId="9" fillId="18" borderId="0" xfId="0" applyNumberFormat="1" applyFont="1" applyFill="1" applyBorder="1"/>
    <x:xf numFmtId="0" fontId="0" fillId="17" borderId="0" xfId="0" applyNumberFormat="1" applyFont="1" applyFill="1" applyBorder="1" applyAlignment="1">
      <x:alignment wrapText="1"/>
    </x:xf>
    <x:xf numFmtId="0" fontId="14" fillId="17" borderId="0" xfId="0" applyNumberFormat="1" applyFont="1" applyFill="1" applyBorder="1" applyAlignment="1">
      <x:alignment wrapText="1"/>
    </x:xf>
    <x:xf numFmtId="0" fontId="14" fillId="17" borderId="0" xfId="0" applyNumberFormat="1" applyFont="1" applyFill="1" applyBorder="1" applyAlignment="1">
      <x:alignment horizontal="center" wrapText="1"/>
    </x:xf>
    <x:xf numFmtId="0" fontId="14" fillId="17" borderId="0" xfId="0" applyNumberFormat="1" applyFont="1" applyFill="1" applyBorder="1" applyAlignment="1">
      <x:alignment horizontal="center" vertical="center" wrapText="1"/>
    </x:xf>
    <x:xf numFmtId="0" fontId="9" fillId="17" borderId="4" xfId="0" applyNumberFormat="1" applyFont="1" applyFill="1" applyBorder="1" applyAlignment="1">
      <x:alignment horizontal="center" vertical="center" wrapText="1"/>
    </x:xf>
    <x:xf numFmtId="0" fontId="9" fillId="17" borderId="0" xfId="0" applyNumberFormat="1" applyFont="1" applyFill="1" applyBorder="1" applyAlignment="1">
      <x:alignment horizontal="center" vertical="center" wrapText="1"/>
    </x:xf>
    <x:xf numFmtId="0" fontId="14" fillId="17" borderId="4" xfId="0" applyNumberFormat="1" applyFont="1" applyFill="1" applyBorder="1" applyAlignment="1">
      <x:alignment horizontal="center" vertical="center" wrapText="1"/>
    </x:xf>
    <x:xf numFmtId="202" fontId="1" fillId="19" borderId="5" xfId="0" applyNumberFormat="1" applyFont="1" applyFill="1" applyBorder="1" applyAlignment="1">
      <x:alignment vertical="center"/>
    </x:xf>
    <x:xf numFmtId="203" fontId="1" fillId="19" borderId="5" xfId="0" applyNumberFormat="1" applyFont="1" applyFill="1" applyBorder="1" applyAlignment="1">
      <x:alignment vertical="center"/>
    </x:xf>
    <x:xf numFmtId="205" fontId="1" fillId="19" borderId="5" xfId="0" applyNumberFormat="1" applyFont="1" applyFill="1" applyBorder="1" applyAlignment="1">
      <x:alignment vertical="center"/>
    </x:xf>
    <x:xf numFmtId="202" fontId="6" fillId="19" borderId="5" xfId="0" applyNumberFormat="1" applyFont="1" applyFill="1" applyBorder="1" applyAlignment="1">
      <x:alignment vertical="center"/>
    </x:xf>
    <x:xf numFmtId="203" fontId="6" fillId="19" borderId="5" xfId="0" applyNumberFormat="1" applyFont="1" applyFill="1" applyBorder="1" applyAlignment="1">
      <x:alignment vertical="center"/>
    </x:xf>
    <x:xf numFmtId="205" fontId="6" fillId="19" borderId="5" xfId="0" applyNumberFormat="1" applyFont="1" applyFill="1" applyBorder="1" applyAlignment="1">
      <x:alignment vertical="center"/>
    </x:xf>
    <x:xf numFmtId="0" fontId="5" fillId="20" borderId="0" xfId="0" applyNumberFormat="1" applyFont="1" applyFill="1" applyBorder="1" applyAlignment="1">
      <x:alignment horizontal="center" vertical="center" wrapText="1"/>
    </x:xf>
    <x:xf numFmtId="0" fontId="9" fillId="21" borderId="0" xfId="0" applyNumberFormat="1" applyFont="1" applyFill="1" applyBorder="1" applyAlignment="1">
      <x:alignment vertical="center"/>
    </x:xf>
    <x:xf numFmtId="0" fontId="9" fillId="21" borderId="0" xfId="0" applyNumberFormat="1" applyFont="1" applyFill="1" applyBorder="1" applyAlignment="1">
      <x:alignment vertical="center" wrapText="1"/>
    </x:xf>
    <x:xf numFmtId="0" fontId="14" fillId="20" borderId="0" xfId="0" applyNumberFormat="1" applyFont="1" applyFill="1" applyBorder="1" applyAlignment="1">
      <x:alignment horizontal="center" vertical="center" wrapText="1"/>
    </x:xf>
    <x:xf numFmtId="0" fontId="9" fillId="20" borderId="4" xfId="0" applyNumberFormat="1" applyFont="1" applyFill="1" applyBorder="1" applyAlignment="1">
      <x:alignment horizontal="center" vertical="center" wrapText="1"/>
    </x:xf>
    <x:xf numFmtId="0" fontId="9" fillId="20" borderId="0" xfId="0" applyNumberFormat="1" applyFont="1" applyFill="1" applyBorder="1" applyAlignment="1">
      <x:alignment horizontal="center" vertical="center" wrapText="1"/>
    </x:xf>
    <x:xf numFmtId="0" fontId="14" fillId="20" borderId="4" xfId="0" applyNumberFormat="1" applyFont="1" applyFill="1" applyBorder="1" applyAlignment="1">
      <x:alignment horizontal="center" vertical="center" wrapText="1"/>
    </x:xf>
    <x:xf numFmtId="202" fontId="1" fillId="22" borderId="5" xfId="0" applyNumberFormat="1" applyFont="1" applyFill="1" applyBorder="1" applyAlignment="1">
      <x:alignment vertical="center"/>
    </x:xf>
    <x:xf numFmtId="203" fontId="1" fillId="22" borderId="5" xfId="0" applyNumberFormat="1" applyFont="1" applyFill="1" applyBorder="1" applyAlignment="1">
      <x:alignment vertical="center"/>
    </x:xf>
    <x:xf numFmtId="205" fontId="1" fillId="22" borderId="5" xfId="0" applyNumberFormat="1" applyFont="1" applyFill="1" applyBorder="1" applyAlignment="1">
      <x:alignment vertical="center"/>
    </x:xf>
    <x:xf numFmtId="202" fontId="6" fillId="22" borderId="5" xfId="0" applyNumberFormat="1" applyFont="1" applyFill="1" applyBorder="1" applyAlignment="1">
      <x:alignment vertical="center"/>
    </x:xf>
    <x:xf numFmtId="203" fontId="6" fillId="22" borderId="5" xfId="0" applyNumberFormat="1" applyFont="1" applyFill="1" applyBorder="1" applyAlignment="1">
      <x:alignment vertical="center"/>
    </x:xf>
    <x:xf numFmtId="205" fontId="6" fillId="22" borderId="5" xfId="0" applyNumberFormat="1" applyFont="1" applyFill="1" applyBorder="1" applyAlignment="1">
      <x:alignment vertical="center"/>
    </x:xf>
    <x:xf numFmtId="0" fontId="5" fillId="23" borderId="0" xfId="0" applyNumberFormat="1" applyFont="1" applyFill="1" applyBorder="1" applyAlignment="1">
      <x:alignment horizontal="center" vertical="center" wrapText="1"/>
    </x:xf>
    <x:xf numFmtId="0" fontId="4" fillId="24" borderId="0" xfId="0" applyNumberFormat="1" applyFont="1" applyFill="1" applyBorder="1" applyAlignment="1">
      <x:alignment vertical="center"/>
    </x:xf>
    <x:xf numFmtId="0" fontId="4" fillId="24" borderId="0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/>
    <x:xf numFmtId="0" fontId="9" fillId="24" borderId="0" xfId="0" applyNumberFormat="1" applyFont="1" applyFill="1" applyBorder="1" applyAlignment="1">
      <x:alignment vertical="center"/>
    </x:xf>
    <x:xf numFmtId="0" fontId="9" fillId="24" borderId="0" xfId="0" applyNumberFormat="1" applyFont="1" applyFill="1" applyBorder="1" applyAlignment="1">
      <x:alignment vertical="center" wrapText="1"/>
    </x:xf>
    <x:xf numFmtId="0" fontId="9" fillId="24" borderId="0" xfId="0" applyNumberFormat="1" applyFont="1" applyFill="1" applyBorder="1"/>
    <x:xf numFmtId="0" fontId="14" fillId="23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vertical="center" wrapText="0"/>
    </x:xf>
    <x:xf numFmtId="0" fontId="12" fillId="0" borderId="0" xfId="0" applyNumberFormat="1" applyFont="1" applyFill="1" applyBorder="1" applyAlignment="1">
      <x:alignment vertical="center"/>
    </x:xf>
    <x:xf numFmtId="0" fontId="9" fillId="23" borderId="4" xfId="0" applyNumberFormat="1" applyFont="1" applyFill="1" applyBorder="1" applyAlignment="1">
      <x:alignment horizontal="center" vertical="center" wrapText="1"/>
    </x:xf>
    <x:xf numFmtId="0" fontId="9" fillId="23" borderId="0" xfId="0" applyNumberFormat="1" applyFont="1" applyFill="1" applyBorder="1" applyAlignment="1">
      <x:alignment horizontal="center" vertical="center" wrapText="1"/>
    </x:xf>
    <x:xf numFmtId="0" fontId="14" fillId="23" borderId="4" xfId="0" applyNumberFormat="1" applyFont="1" applyFill="1" applyBorder="1" applyAlignment="1">
      <x:alignment horizontal="center" vertical="center" wrapText="1"/>
    </x:xf>
    <x:xf numFmtId="202" fontId="1" fillId="25" borderId="5" xfId="0" applyNumberFormat="1" applyFont="1" applyFill="1" applyBorder="1" applyAlignment="1">
      <x:alignment vertical="center"/>
    </x:xf>
    <x:xf numFmtId="203" fontId="1" fillId="25" borderId="5" xfId="0" applyNumberFormat="1" applyFont="1" applyFill="1" applyBorder="1" applyAlignment="1">
      <x:alignment vertical="center"/>
    </x:xf>
    <x:xf numFmtId="205" fontId="1" fillId="25" borderId="5" xfId="0" applyNumberFormat="1" applyFont="1" applyFill="1" applyBorder="1" applyAlignment="1">
      <x:alignment vertical="center"/>
    </x:xf>
    <x:xf numFmtId="202" fontId="6" fillId="25" borderId="5" xfId="0" applyNumberFormat="1" applyFont="1" applyFill="1" applyBorder="1" applyAlignment="1">
      <x:alignment vertical="center"/>
    </x:xf>
    <x:xf numFmtId="203" fontId="6" fillId="25" borderId="5" xfId="0" applyNumberFormat="1" applyFont="1" applyFill="1" applyBorder="1" applyAlignment="1">
      <x:alignment vertical="center"/>
    </x:xf>
    <x:xf numFmtId="205" fontId="6" fillId="25" borderId="5" xfId="0" applyNumberFormat="1" applyFont="1" applyFill="1" applyBorder="1" applyAlignment="1">
      <x:alignment vertical="center"/>
    </x:xf>
    <x:xf numFmtId="0" fontId="5" fillId="26" borderId="0" xfId="0" applyNumberFormat="1" applyFont="1" applyFill="1" applyBorder="1" applyAlignment="1">
      <x:alignment horizontal="center" vertical="center" wrapText="1"/>
    </x:xf>
    <x:xf numFmtId="0" fontId="9" fillId="27" borderId="0" xfId="0" applyNumberFormat="1" applyFont="1" applyFill="1" applyBorder="1" applyAlignment="1">
      <x:alignment vertical="center"/>
    </x:xf>
    <x:xf numFmtId="0" fontId="9" fillId="27" borderId="0" xfId="0" applyNumberFormat="1" applyFont="1" applyFill="1" applyBorder="1" applyAlignment="1">
      <x:alignment vertical="center" wrapText="1"/>
    </x:xf>
    <x:xf numFmtId="0" fontId="14" fillId="26" borderId="0" xfId="0" applyNumberFormat="1" applyFont="1" applyFill="1" applyBorder="1" applyAlignment="1">
      <x:alignment horizontal="center" vertical="center" wrapText="1"/>
    </x:xf>
    <x:xf numFmtId="0" fontId="9" fillId="26" borderId="4" xfId="0" applyNumberFormat="1" applyFont="1" applyFill="1" applyBorder="1" applyAlignment="1">
      <x:alignment horizontal="center" vertical="center" wrapText="1"/>
    </x:xf>
    <x:xf numFmtId="0" fontId="9" fillId="26" borderId="0" xfId="0" applyNumberFormat="1" applyFont="1" applyFill="1" applyBorder="1" applyAlignment="1">
      <x:alignment horizontal="center" vertical="center" wrapText="1"/>
    </x:xf>
    <x:xf numFmtId="0" fontId="14" fillId="26" borderId="4" xfId="0" applyNumberFormat="1" applyFont="1" applyFill="1" applyBorder="1" applyAlignment="1">
      <x:alignment horizontal="center" vertical="center" wrapText="1"/>
    </x:xf>
    <x:xf numFmtId="202" fontId="1" fillId="28" borderId="5" xfId="0" applyNumberFormat="1" applyFont="1" applyFill="1" applyBorder="1" applyAlignment="1">
      <x:alignment vertical="center"/>
    </x:xf>
    <x:xf numFmtId="203" fontId="1" fillId="28" borderId="5" xfId="0" applyNumberFormat="1" applyFont="1" applyFill="1" applyBorder="1" applyAlignment="1">
      <x:alignment vertical="center"/>
    </x:xf>
    <x:xf numFmtId="205" fontId="1" fillId="28" borderId="5" xfId="0" applyNumberFormat="1" applyFont="1" applyFill="1" applyBorder="1" applyAlignment="1">
      <x:alignment vertical="center"/>
    </x:xf>
    <x:xf numFmtId="202" fontId="6" fillId="28" borderId="5" xfId="0" applyNumberFormat="1" applyFont="1" applyFill="1" applyBorder="1" applyAlignment="1">
      <x:alignment vertical="center"/>
    </x:xf>
    <x:xf numFmtId="203" fontId="6" fillId="28" borderId="5" xfId="0" applyNumberFormat="1" applyFont="1" applyFill="1" applyBorder="1" applyAlignment="1">
      <x:alignment vertical="center"/>
    </x:xf>
    <x:xf numFmtId="205" fontId="6" fillId="28" borderId="5" xfId="0" applyNumberFormat="1" applyFont="1" applyFill="1" applyBorder="1" applyAlignment="1">
      <x:alignment vertical="center"/>
    </x:xf>
    <x:xf numFmtId="0" fontId="5" fillId="29" borderId="0" xfId="0" applyNumberFormat="1" applyFont="1" applyFill="1" applyBorder="1" applyAlignment="1">
      <x:alignment horizontal="center" vertical="center" wrapText="1"/>
    </x:xf>
    <x:xf numFmtId="0" fontId="9" fillId="30" borderId="0" xfId="0" applyNumberFormat="1" applyFont="1" applyFill="1" applyBorder="1" applyAlignment="1">
      <x:alignment vertical="center"/>
    </x:xf>
    <x:xf numFmtId="0" fontId="9" fillId="30" borderId="0" xfId="0" applyNumberFormat="1" applyFont="1" applyFill="1" applyBorder="1" applyAlignment="1">
      <x:alignment vertical="center" wrapText="1"/>
    </x:xf>
    <x:xf numFmtId="0" fontId="14" fillId="29" borderId="0" xfId="0" applyNumberFormat="1" applyFont="1" applyFill="1" applyBorder="1" applyAlignment="1">
      <x:alignment horizontal="center" vertical="center" wrapText="1"/>
    </x:xf>
    <x:xf numFmtId="0" fontId="9" fillId="29" borderId="4" xfId="0" applyNumberFormat="1" applyFont="1" applyFill="1" applyBorder="1" applyAlignment="1">
      <x:alignment horizontal="center" vertical="center" wrapText="1"/>
    </x:xf>
    <x:xf numFmtId="0" fontId="9" fillId="29" borderId="0" xfId="0" applyNumberFormat="1" applyFont="1" applyFill="1" applyBorder="1" applyAlignment="1">
      <x:alignment horizontal="center" vertical="center" wrapText="1"/>
    </x:xf>
    <x:xf numFmtId="0" fontId="14" fillId="29" borderId="4" xfId="0" applyNumberFormat="1" applyFont="1" applyFill="1" applyBorder="1" applyAlignment="1">
      <x:alignment horizontal="center" vertical="center" wrapText="1"/>
    </x:xf>
    <x:xf numFmtId="202" fontId="1" fillId="31" borderId="5" xfId="0" applyNumberFormat="1" applyFont="1" applyFill="1" applyBorder="1" applyAlignment="1">
      <x:alignment vertical="center"/>
    </x:xf>
    <x:xf numFmtId="203" fontId="1" fillId="31" borderId="5" xfId="0" applyNumberFormat="1" applyFont="1" applyFill="1" applyBorder="1" applyAlignment="1">
      <x:alignment vertical="center"/>
    </x:xf>
    <x:xf numFmtId="205" fontId="1" fillId="31" borderId="5" xfId="0" applyNumberFormat="1" applyFont="1" applyFill="1" applyBorder="1" applyAlignment="1">
      <x:alignment vertical="center"/>
    </x:xf>
    <x:xf numFmtId="202" fontId="6" fillId="31" borderId="5" xfId="0" applyNumberFormat="1" applyFont="1" applyFill="1" applyBorder="1" applyAlignment="1">
      <x:alignment vertical="center"/>
    </x:xf>
    <x:xf numFmtId="203" fontId="6" fillId="31" borderId="5" xfId="0" applyNumberFormat="1" applyFont="1" applyFill="1" applyBorder="1" applyAlignment="1">
      <x:alignment vertical="center"/>
    </x:xf>
    <x:xf numFmtId="205" fontId="6" fillId="31" borderId="5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wrapText="0"/>
    </x:xf>
    <x:xf numFmtId="0" fontId="1" fillId="30" borderId="0" xfId="0" applyNumberFormat="1" applyFont="1" applyFill="1" applyBorder="1"/>
    <x:xf numFmtId="0" fontId="9" fillId="30" borderId="0" xfId="0" applyNumberFormat="1" applyFont="1" applyFill="1" applyBorder="1"/>
    <x:xf numFmtId="0" fontId="1" fillId="29" borderId="0" xfId="0" applyNumberFormat="1" applyFont="1" applyFill="1" applyBorder="1"/>
    <x:xf numFmtId="0" fontId="14" fillId="29" borderId="0" xfId="0" applyNumberFormat="1" applyFont="1" applyFill="1" applyBorder="1"/>
    <x:xf numFmtId="0" fontId="14" fillId="29" borderId="0" xfId="0" applyNumberFormat="1" applyFont="1" applyFill="1" applyBorder="1" applyAlignment="1">
      <x:alignment wrapText="1"/>
    </x:xf>
    <x:xf numFmtId="0" fontId="14" fillId="29" borderId="0" xfId="0" applyNumberFormat="1" applyFont="1" applyFill="1" applyBorder="1" applyAlignment="1">
      <x:alignment horizontal="center" wrapText="1"/>
    </x:xf>
    <x:xf numFmtId="0" fontId="1" fillId="31" borderId="0" xfId="0" applyNumberFormat="1" applyFont="1" applyFill="1" applyBorder="1"/>
    <x:xf numFmtId="0" fontId="6" fillId="31" borderId="0" xfId="0" applyNumberFormat="1" applyFont="1" applyFill="1" applyBorder="1"/>
    <x:xf numFmtId="0" fontId="6" fillId="31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/>
    <x:xf numFmtId="0" fontId="6" fillId="31" borderId="4" xfId="0" applyNumberFormat="1" applyFont="1" applyFill="1" applyBorder="1" applyAlignment="1">
      <x:alignment vertical="center"/>
    </x:xf>
    <x:xf numFmtId="0" fontId="8" fillId="0" borderId="4" xfId="0" applyNumberFormat="1" applyFont="1" applyFill="1" applyBorder="1" applyAlignment="1">
      <x:alignment vertical="center"/>
    </x:xf>
    <x:xf numFmtId="0" fontId="16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/>
    <x:xf numFmtId="0" fontId="6" fillId="31" borderId="5" xfId="0" applyNumberFormat="1" applyFont="1" applyFill="1" applyBorder="1" applyAlignment="1">
      <x:alignment vertical="center"/>
    </x:xf>
    <x:xf numFmtId="0" fontId="8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/>
    <x:xf numFmtId="0" fontId="6" fillId="31" borderId="6" xfId="0" applyNumberFormat="1" applyFont="1" applyFill="1" applyBorder="1" applyAlignment="1">
      <x:alignment vertical="center"/>
    </x:xf>
    <x:xf numFmtId="0" fontId="8" fillId="0" borderId="6" xfId="0" applyNumberFormat="1" applyFont="1" applyFill="1" applyBorder="1" applyAlignment="1">
      <x:alignment vertical="center"/>
    </x:xf>
    <x:xf numFmtId="203" fontId="6" fillId="31" borderId="4" xfId="0" applyNumberFormat="1" applyFont="1" applyFill="1" applyBorder="1" applyAlignment="1">
      <x:alignment vertical="center"/>
    </x:xf>
    <x:xf numFmtId="203" fontId="6" fillId="31" borderId="6" xfId="0" applyNumberFormat="1" applyFont="1" applyFill="1" applyBorder="1" applyAlignment="1">
      <x:alignment vertical="center"/>
    </x:xf>
    <x:xf numFmtId="203" fontId="8" fillId="0" borderId="4" xfId="0" applyNumberFormat="1" applyFont="1" applyFill="1" applyBorder="1" applyAlignment="1">
      <x:alignment vertical="center"/>
    </x:xf>
    <x:xf numFmtId="205" fontId="6" fillId="31" borderId="4" xfId="0" applyNumberFormat="1" applyFont="1" applyFill="1" applyBorder="1" applyAlignment="1">
      <x:alignment vertical="center"/>
    </x:xf>
    <x:xf numFmtId="205" fontId="6" fillId="31" borderId="6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5" fillId="32" borderId="0" xfId="0" applyNumberFormat="1" applyFont="1" applyFill="1" applyBorder="1" applyAlignment="1">
      <x:alignment horizontal="center" vertical="center" wrapText="1"/>
    </x:xf>
    <x:xf numFmtId="205" fontId="1" fillId="4" borderId="4" xfId="0" applyNumberFormat="1" applyFont="1" applyFill="1" applyBorder="1" applyAlignment="1">
      <x:alignment vertical="center"/>
    </x:xf>
    <x:xf numFmtId="203" fontId="1" fillId="4" borderId="4" xfId="0" applyNumberFormat="1" applyFont="1" applyFill="1" applyBorder="1" applyAlignment="1">
      <x:alignment vertical="center"/>
    </x:xf>
    <x:xf numFmtId="203" fontId="1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9" fillId="33" borderId="0" xfId="0" applyNumberFormat="1" applyFont="1" applyFill="1" applyBorder="1" applyAlignment="1">
      <x:alignment vertical="center"/>
    </x:xf>
    <x:xf numFmtId="0" fontId="9" fillId="33" borderId="0" xfId="0" applyNumberFormat="1" applyFont="1" applyFill="1" applyBorder="1" applyAlignment="1">
      <x:alignment vertical="center" wrapText="1"/>
    </x:xf>
    <x:xf numFmtId="0" fontId="14" fillId="32" borderId="0" xfId="0" applyNumberFormat="1" applyFont="1" applyFill="1" applyBorder="1" applyAlignment="1">
      <x:alignment horizontal="center" vertical="center" wrapText="1"/>
    </x:xf>
    <x:xf numFmtId="0" fontId="9" fillId="32" borderId="4" xfId="0" applyNumberFormat="1" applyFont="1" applyFill="1" applyBorder="1" applyAlignment="1">
      <x:alignment horizontal="center" vertical="center" wrapText="1"/>
    </x:xf>
    <x:xf numFmtId="0" fontId="9" fillId="32" borderId="0" xfId="0" applyNumberFormat="1" applyFont="1" applyFill="1" applyBorder="1" applyAlignment="1">
      <x:alignment horizontal="center" vertical="center" wrapText="1"/>
    </x:xf>
    <x:xf numFmtId="0" fontId="14" fillId="32" borderId="4" xfId="0" applyNumberFormat="1" applyFont="1" applyFill="1" applyBorder="1" applyAlignment="1">
      <x:alignment horizontal="center" vertical="center" wrapText="1"/>
    </x:xf>
    <x:xf numFmtId="202" fontId="1" fillId="34" borderId="5" xfId="0" applyNumberFormat="1" applyFont="1" applyFill="1" applyBorder="1" applyAlignment="1">
      <x:alignment vertical="center"/>
    </x:xf>
    <x:xf numFmtId="203" fontId="1" fillId="34" borderId="5" xfId="0" applyNumberFormat="1" applyFont="1" applyFill="1" applyBorder="1" applyAlignment="1">
      <x:alignment vertical="center"/>
    </x:xf>
    <x:xf numFmtId="205" fontId="1" fillId="34" borderId="5" xfId="0" applyNumberFormat="1" applyFont="1" applyFill="1" applyBorder="1" applyAlignment="1">
      <x:alignment vertical="center"/>
    </x:xf>
    <x:xf numFmtId="202" fontId="6" fillId="34" borderId="5" xfId="0" applyNumberFormat="1" applyFont="1" applyFill="1" applyBorder="1" applyAlignment="1">
      <x:alignment vertical="center"/>
    </x:xf>
    <x:xf numFmtId="203" fontId="6" fillId="34" borderId="5" xfId="0" applyNumberFormat="1" applyFont="1" applyFill="1" applyBorder="1" applyAlignment="1">
      <x:alignment vertical="center"/>
    </x:xf>
    <x:xf numFmtId="205" fontId="6" fillId="34" borderId="5" xfId="0" applyNumberFormat="1" applyFont="1" applyFill="1" applyBorder="1" applyAlignment="1">
      <x:alignment vertical="center"/>
    </x:xf>
    <x:xf numFmtId="205" fontId="1" fillId="34" borderId="4" xfId="0" applyNumberFormat="1" applyFont="1" applyFill="1" applyBorder="1" applyAlignment="1">
      <x:alignment vertical="center"/>
    </x:xf>
    <x:xf numFmtId="203" fontId="1" fillId="34" borderId="4" xfId="0" applyNumberFormat="1" applyFont="1" applyFill="1" applyBorder="1" applyAlignment="1">
      <x:alignment vertical="center"/>
    </x:xf>
    <x:xf numFmtId="205" fontId="1" fillId="34" borderId="6" xfId="0" applyNumberFormat="1" applyFont="1" applyFill="1" applyBorder="1" applyAlignment="1">
      <x:alignment vertical="center"/>
    </x:xf>
    <x:xf numFmtId="203" fontId="1" fillId="34" borderId="6" xfId="0" applyNumberFormat="1" applyFont="1" applyFill="1" applyBorder="1" applyAlignment="1">
      <x:alignment vertical="center"/>
    </x:xf>
    <x:xf numFmtId="205" fontId="6" fillId="34" borderId="4" xfId="0" applyNumberFormat="1" applyFont="1" applyFill="1" applyBorder="1" applyAlignment="1">
      <x:alignment vertical="center"/>
    </x:xf>
    <x:xf numFmtId="203" fontId="6" fillId="34" borderId="4" xfId="0" applyNumberFormat="1" applyFont="1" applyFill="1" applyBorder="1" applyAlignment="1">
      <x:alignment vertical="center"/>
    </x:xf>
    <x:xf numFmtId="205" fontId="6" fillId="34" borderId="6" xfId="0" applyNumberFormat="1" applyFont="1" applyFill="1" applyBorder="1" applyAlignment="1">
      <x:alignment vertical="center"/>
    </x:xf>
    <x:xf numFmtId="203" fontId="6" fillId="34" borderId="6" xfId="0" applyNumberFormat="1" applyFont="1" applyFill="1" applyBorder="1" applyAlignment="1">
      <x:alignment vertical="center"/>
    </x:xf>
    <x:xf numFmtId="0" fontId="1" fillId="34" borderId="4" xfId="0" applyNumberFormat="1" applyFont="1" applyFill="1" applyBorder="1" applyAlignment="1">
      <x:alignment vertical="center"/>
    </x:xf>
    <x:xf numFmtId="0" fontId="1" fillId="34" borderId="5" xfId="0" applyNumberFormat="1" applyFont="1" applyFill="1" applyBorder="1" applyAlignment="1">
      <x:alignment vertical="center"/>
    </x:xf>
    <x:xf numFmtId="0" fontId="1" fillId="34" borderId="6" xfId="0" applyNumberFormat="1" applyFont="1" applyFill="1" applyBorder="1" applyAlignment="1">
      <x:alignment vertical="center"/>
    </x:xf>
    <x:xf numFmtId="0" fontId="6" fillId="34" borderId="4" xfId="0" applyNumberFormat="1" applyFont="1" applyFill="1" applyBorder="1" applyAlignment="1">
      <x:alignment vertical="center"/>
    </x:xf>
    <x:xf numFmtId="0" fontId="6" fillId="34" borderId="5" xfId="0" applyNumberFormat="1" applyFont="1" applyFill="1" applyBorder="1" applyAlignment="1">
      <x:alignment vertical="center"/>
    </x:xf>
    <x:xf numFmtId="0" fontId="6" fillId="34" borderId="6" xfId="0" applyNumberFormat="1" applyFont="1" applyFill="1" applyBorder="1" applyAlignment="1">
      <x:alignment vertical="center"/>
    </x:xf>
    <x:xf numFmtId="205" fontId="8" fillId="34" borderId="4" xfId="0" applyNumberFormat="1" applyFont="1" applyFill="1" applyBorder="1" applyAlignment="1">
      <x:alignment vertical="center"/>
    </x:xf>
    <x:xf numFmtId="203" fontId="8" fillId="34" borderId="4" xfId="0" applyNumberFormat="1" applyFont="1" applyFill="1" applyBorder="1" applyAlignment="1">
      <x:alignment vertical="center"/>
    </x:xf>
    <x:xf numFmtId="0" fontId="5" fillId="35" borderId="0" xfId="0" applyNumberFormat="1" applyFont="1" applyFill="1" applyBorder="1" applyAlignment="1">
      <x:alignment horizontal="center" vertical="center" wrapText="1"/>
    </x:xf>
    <x:xf numFmtId="0" fontId="9" fillId="36" borderId="0" xfId="0" applyNumberFormat="1" applyFont="1" applyFill="1" applyBorder="1" applyAlignment="1">
      <x:alignment vertical="center"/>
    </x:xf>
    <x:xf numFmtId="0" fontId="9" fillId="36" borderId="0" xfId="0" applyNumberFormat="1" applyFont="1" applyFill="1" applyBorder="1" applyAlignment="1">
      <x:alignment vertical="center" wrapText="1"/>
    </x:xf>
    <x:xf numFmtId="0" fontId="14" fillId="35" borderId="0" xfId="0" applyNumberFormat="1" applyFont="1" applyFill="1" applyBorder="1" applyAlignment="1">
      <x:alignment horizontal="center" vertical="center" wrapText="1"/>
    </x:xf>
    <x:xf numFmtId="0" fontId="9" fillId="35" borderId="4" xfId="0" applyNumberFormat="1" applyFont="1" applyFill="1" applyBorder="1" applyAlignment="1">
      <x:alignment horizontal="center" vertical="center" wrapText="1"/>
    </x:xf>
    <x:xf numFmtId="0" fontId="9" fillId="35" borderId="0" xfId="0" applyNumberFormat="1" applyFont="1" applyFill="1" applyBorder="1" applyAlignment="1">
      <x:alignment horizontal="center" vertical="center" wrapText="1"/>
    </x:xf>
    <x:xf numFmtId="0" fontId="14" fillId="35" borderId="4" xfId="0" applyNumberFormat="1" applyFont="1" applyFill="1" applyBorder="1" applyAlignment="1">
      <x:alignment horizontal="center" vertical="center" wrapText="1"/>
    </x:xf>
    <x:xf numFmtId="202" fontId="1" fillId="37" borderId="5" xfId="0" applyNumberFormat="1" applyFont="1" applyFill="1" applyBorder="1" applyAlignment="1">
      <x:alignment vertical="center"/>
    </x:xf>
    <x:xf numFmtId="203" fontId="1" fillId="37" borderId="5" xfId="0" applyNumberFormat="1" applyFont="1" applyFill="1" applyBorder="1" applyAlignment="1">
      <x:alignment vertical="center"/>
    </x:xf>
    <x:xf numFmtId="205" fontId="1" fillId="37" borderId="5" xfId="0" applyNumberFormat="1" applyFont="1" applyFill="1" applyBorder="1" applyAlignment="1">
      <x:alignment vertical="center"/>
    </x:xf>
    <x:xf numFmtId="202" fontId="6" fillId="37" borderId="5" xfId="0" applyNumberFormat="1" applyFont="1" applyFill="1" applyBorder="1" applyAlignment="1">
      <x:alignment vertical="center"/>
    </x:xf>
    <x:xf numFmtId="203" fontId="6" fillId="37" borderId="5" xfId="0" applyNumberFormat="1" applyFont="1" applyFill="1" applyBorder="1" applyAlignment="1">
      <x:alignment vertical="center"/>
    </x:xf>
    <x:xf numFmtId="205" fontId="6" fillId="37" borderId="5" xfId="0" applyNumberFormat="1" applyFont="1" applyFill="1" applyBorder="1" applyAlignment="1">
      <x:alignment vertical="center"/>
    </x:xf>
    <x:xf numFmtId="205" fontId="1" fillId="37" borderId="4" xfId="0" applyNumberFormat="1" applyFont="1" applyFill="1" applyBorder="1" applyAlignment="1">
      <x:alignment vertical="center"/>
    </x:xf>
    <x:xf numFmtId="203" fontId="1" fillId="37" borderId="4" xfId="0" applyNumberFormat="1" applyFont="1" applyFill="1" applyBorder="1" applyAlignment="1">
      <x:alignment vertical="center"/>
    </x:xf>
    <x:xf numFmtId="205" fontId="6" fillId="37" borderId="4" xfId="0" applyNumberFormat="1" applyFont="1" applyFill="1" applyBorder="1" applyAlignment="1">
      <x:alignment vertical="center"/>
    </x:xf>
    <x:xf numFmtId="203" fontId="6" fillId="37" borderId="4" xfId="0" applyNumberFormat="1" applyFont="1" applyFill="1" applyBorder="1" applyAlignment="1">
      <x:alignment vertical="center"/>
    </x:xf>
    <x:xf numFmtId="0" fontId="1" fillId="37" borderId="4" xfId="0" applyNumberFormat="1" applyFont="1" applyFill="1" applyBorder="1" applyAlignment="1">
      <x:alignment vertical="center"/>
    </x:xf>
    <x:xf numFmtId="0" fontId="1" fillId="37" borderId="5" xfId="0" applyNumberFormat="1" applyFont="1" applyFill="1" applyBorder="1" applyAlignment="1">
      <x:alignment vertical="center"/>
    </x:xf>
    <x:xf numFmtId="0" fontId="6" fillId="37" borderId="4" xfId="0" applyNumberFormat="1" applyFont="1" applyFill="1" applyBorder="1" applyAlignment="1">
      <x:alignment vertical="center"/>
    </x:xf>
    <x:xf numFmtId="0" fontId="6" fillId="37" borderId="5" xfId="0" applyNumberFormat="1" applyFont="1" applyFill="1" applyBorder="1" applyAlignment="1">
      <x:alignment vertical="center"/>
    </x:xf>
    <x:xf numFmtId="205" fontId="8" fillId="37" borderId="4" xfId="0" applyNumberFormat="1" applyFont="1" applyFill="1" applyBorder="1" applyAlignment="1">
      <x:alignment vertical="center"/>
    </x:xf>
    <x:xf numFmtId="203" fontId="8" fillId="37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fd9b3086ff4fb5" /><Relationship Type="http://schemas.openxmlformats.org/officeDocument/2006/relationships/theme" Target="/xl/theme/theme1.xml" Id="Rdd1aae9323044d57" /><Relationship Type="http://schemas.openxmlformats.org/officeDocument/2006/relationships/sharedStrings" Target="/xl/sharedStrings.xml" Id="R2636ad2347c74bf4" /><Relationship Type="http://schemas.openxmlformats.org/officeDocument/2006/relationships/worksheet" Target="/xl/worksheets/sheet1.xml" Id="R5547e6f4b1774270" /><Relationship Type="http://schemas.openxmlformats.org/officeDocument/2006/relationships/worksheet" Target="/xl/worksheets/sheet2.xml" Id="R28d3f3c5255148ea" /><Relationship Type="http://schemas.openxmlformats.org/officeDocument/2006/relationships/worksheet" Target="/xl/worksheets/sheet3.xml" Id="R53a1a24b56974702" /><Relationship Type="http://schemas.openxmlformats.org/officeDocument/2006/relationships/worksheet" Target="/xl/worksheets/sheet4.xml" Id="R3a73f3317acf444c" /><Relationship Type="http://schemas.openxmlformats.org/officeDocument/2006/relationships/worksheet" Target="/xl/worksheets/sheet5.xml" Id="Rcef147d392b242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19" hidden="0" customWidth="1"/>
    <x:col min="4" max="4" width="42" hidden="0" customWidth="1"/>
    <x:col min="5" max="5" width="64" hidden="0" customWidth="1"/>
  </x:cols>
  <x:sheetData>
    <x:row r="1" ht="20" customHeight="1">
      <x:c r="A1" s="10"/>
      <x:c r="B1" s="10"/>
      <x:c r="C1" s="10"/>
      <x:c r="D1" s="10"/>
      <x:c r="E1" s="10"/>
    </x:row>
    <x:row r="2" ht="20" customHeight="1">
      <x:c r="A2" s="29" t="str">
        <x:v>Rimrooms - Async Industries: economy v0.2</x:v>
      </x:c>
      <x:c r="B2" s="72"/>
      <x:c r="C2" s="72"/>
      <x:c r="D2" s="29"/>
      <x:c r="E2" s="29"/>
    </x:row>
    <x:row r="3" ht="20" customHeight="1">
      <x:c r="A3" s="30" t="str">
        <x:v>30-day company-account forecast in USD. Editable pre-code targets; not tested play balance.</x:v>
      </x:c>
      <x:c r="B3" s="73"/>
      <x:c r="C3" s="73"/>
      <x:c r="D3" s="30"/>
      <x:c r="E3" s="30"/>
    </x:row>
    <x:row r="4" ht="20" customHeight="1">
      <x:c r="A4" s="10"/>
      <x:c r="B4" s="10"/>
      <x:c r="C4" s="10"/>
      <x:c r="D4" s="10"/>
      <x:c r="E4" s="10"/>
    </x:row>
    <x:row r="5" ht="20" customHeight="1">
      <x:c r="A5" s="74" t="str">
        <x:v>30-day opening account forecast</x:v>
      </x:c>
      <x:c r="B5" s="74"/>
      <x:c r="C5" s="74"/>
      <x:c r="D5" s="10"/>
      <x:c r="E5" s="10"/>
    </x:row>
    <x:row r="6" ht="20" customHeight="1">
      <x:c r="A6" s="69" t="str">
        <x:v>Metric</x:v>
      </x:c>
      <x:c r="B6" s="69" t="str">
        <x:v>Value (USD unless noted)</x:v>
      </x:c>
      <x:c r="C6" s="69"/>
      <x:c r="D6" s="350" t="str">
        <x:v>Explanation</x:v>
      </x:c>
      <x:c r="E6" s="10"/>
    </x:row>
    <x:row r="7" ht="24" hidden="0" customHeight="1">
      <x:c r="A7" s="21" t="str">
        <x:v>Opening Company Account</x:v>
      </x:c>
      <x:c r="B7" s="22" t="n">
        <x:f>C31</x:f>
        <x:v>50000000</x:v>
      </x:c>
      <x:c r="C7" s="21"/>
      <x:c r="D7" s="21" t="str">
        <x:v>Provisional authorized branch allocation; parent valuation is not this balance.</x:v>
      </x:c>
      <x:c r="E7" s="10"/>
    </x:row>
    <x:row r="8" ht="24" hidden="0" customHeight="1">
      <x:c r="A8" s="21" t="str">
        <x:v>AI-01 survey payment</x:v>
      </x:c>
      <x:c r="B8" s="22" t="n">
        <x:f>C38*C39</x:f>
        <x:v>5000000</x:v>
      </x:c>
      <x:c r="C8" s="21"/>
      <x:c r="D8" s="21" t="str">
        <x:v>Paid once after valid extraction and accepted evidence delivery.</x:v>
      </x:c>
      <x:c r="E8" s="10"/>
    </x:row>
    <x:row r="9" ht="15" hidden="0" customHeight="1">
      <x:c r="A9" s="21" t="str">
        <x:v>Optional records bonus</x:v>
      </x:c>
      <x:c r="B9" s="22" t="n">
        <x:f>C40*C41</x:f>
        <x:v>0</x:v>
      </x:c>
      <x:c r="C9" s="21"/>
      <x:c r="D9" s="21" t="str">
        <x:v>Zero in opening forecast; listed bonus is optional.</x:v>
      </x:c>
      <x:c r="E9" s="10"/>
    </x:row>
    <x:row r="10" ht="15" hidden="0" customHeight="1">
      <x:c r="A10" s="21" t="str">
        <x:v>Payroll</x:v>
      </x:c>
      <x:c r="B10" s="22" t="n">
        <x:f>-C33*C34*C32</x:f>
        <x:v>-750000</x:v>
      </x:c>
      <x:c r="C10" s="21"/>
      <x:c r="D10" s="21" t="str">
        <x:v>Five staff at the editable daily pay target.</x:v>
      </x:c>
      <x:c r="E10" s="10"/>
    </x:row>
    <x:row r="11" ht="15" hidden="0" customHeight="1">
      <x:c r="A11" s="21" t="str">
        <x:v>HQ overhead</x:v>
      </x:c>
      <x:c r="B11" s="22" t="n">
        <x:f>-C35*C32</x:f>
        <x:v>-750000</x:v>
      </x:c>
      <x:c r="C11" s="21"/>
      <x:c r="D11" s="21" t="str">
        <x:v>Routine company administration and communications.</x:v>
      </x:c>
      <x:c r="E11" s="10"/>
    </x:row>
    <x:row r="12" ht="24" hidden="0" customHeight="1">
      <x:c r="A12" s="21" t="str">
        <x:v>Automatic food cash debit</x:v>
      </x:c>
      <x:c r="B12" s="22" t="n">
        <x:f>-MAX(0,C32-C36)*C33*C37</x:f>
        <x:v>0</x:v>
      </x:c>
      <x:c r="C12" s="21"/>
      <x:c r="D12" s="21" t="str">
        <x:v>Must stay zero for ordinary meals; only an accepted physical shipment charges cash.</x:v>
      </x:c>
      <x:c r="E12" s="10"/>
    </x:row>
    <x:row r="13" ht="15" hidden="0" customHeight="1">
      <x:c r="A13" s="21" t="str">
        <x:v>New-hire setup</x:v>
      </x:c>
      <x:c r="B13" s="22" t="n">
        <x:f>-C44*C45</x:f>
        <x:v>0</x:v>
      </x:c>
      <x:c r="C13" s="21"/>
      <x:c r="D13" s="21" t="str">
        <x:v>No additional hire in the opening forecast.</x:v>
      </x:c>
      <x:c r="E13" s="10"/>
    </x:row>
    <x:row r="14" ht="15" hidden="0" customHeight="1">
      <x:c r="A14" s="21" t="str">
        <x:v>Survey-kit shipments</x:v>
      </x:c>
      <x:c r="B14" s="22" t="n">
        <x:f>-C46*C47</x:f>
        <x:v>0</x:v>
      </x:c>
      <x:c r="C14" s="21"/>
      <x:c r="D14" s="21" t="str">
        <x:v>No order placed in the opening forecast.</x:v>
      </x:c>
      <x:c r="E14" s="10"/>
    </x:row>
    <x:row r="15" ht="15" hidden="0" customHeight="1">
      <x:c r="A15" s="21" t="str">
        <x:v>Research-material orders</x:v>
      </x:c>
      <x:c r="B15" s="22" t="n">
        <x:f>-C48*C49</x:f>
        <x:v>0</x:v>
      </x:c>
      <x:c r="C15" s="21"/>
      <x:c r="D15" s="21" t="str">
        <x:v>No order placed in the opening forecast.</x:v>
      </x:c>
      <x:c r="E15" s="10"/>
    </x:row>
    <x:row r="16" ht="15" hidden="0" customHeight="1">
      <x:c r="A16" s="21" t="str">
        <x:v>Outpost operation</x:v>
      </x:c>
      <x:c r="B16" s="22" t="n">
        <x:f>-C50*C51</x:f>
        <x:v>0</x:v>
      </x:c>
      <x:c r="C16" s="21"/>
      <x:c r="D16" s="21" t="str">
        <x:v>No active outpost in the opening forecast.</x:v>
      </x:c>
      <x:c r="E16" s="10"/>
    </x:row>
    <x:row r="17" ht="15" hidden="0" customHeight="1">
      <x:c r="A17" s="21" t="str">
        <x:v>Additional facility lease</x:v>
      </x:c>
      <x:c r="B17" s="22" t="n">
        <x:f>-C52*C53</x:f>
        <x:v>0</x:v>
      </x:c>
      <x:c r="C17" s="21"/>
      <x:c r="D17" s="21" t="str">
        <x:v>No lease cost until extra space is rented.</x:v>
      </x:c>
      <x:c r="E17" s="10"/>
    </x:row>
    <x:row r="18" ht="24" hidden="0" customHeight="1">
      <x:c r="A18" s="21" t="str">
        <x:v>Accepted contract penalties</x:v>
      </x:c>
      <x:c r="B18" s="22" t="n">
        <x:f>-C42*C43</x:f>
        <x:v>0</x:v>
      </x:c>
      <x:c r="C18" s="21"/>
      <x:c r="D18" s="21" t="str">
        <x:v>Only a term accepted on a contract may create a penalty.</x:v>
      </x:c>
      <x:c r="E18" s="10"/>
    </x:row>
    <x:row r="19" ht="15" hidden="0" customHeight="1">
      <x:c r="A19" s="65" t="str">
        <x:v>Ending Company Account</x:v>
      </x:c>
      <x:c r="B19" s="66" t="n">
        <x:f>SUM(B7:B18)+B27+'Extended Cases'!$D$7+'Extended Cases'!$G$7+'Extended Cases'!$R$7</x:f>
        <x:v>53500000</x:v>
      </x:c>
      <x:c r="C19" s="65"/>
      <x:c r="D19" s="21" t="str">
        <x:v>Opening balance plus actual posted receipts/costs.</x:v>
      </x:c>
      <x:c r="E19" s="10"/>
    </x:row>
    <x:row r="20" ht="24" hidden="0" customHeight="1">
      <x:c r="A20" s="21" t="str">
        <x:v>Fixed HQ daily outflow</x:v>
      </x:c>
      <x:c r="B20" s="25" t="n">
        <x:f>C33*C34+C35+C33*C37</x:f>
        <x:v>50000</x:v>
      </x:c>
      <x:c r="C20" s="21"/>
      <x:c r="D20" s="21" t="str">
        <x:v>Wages plus HQ overhead; physical food and optional orders excluded.</x:v>
      </x:c>
      <x:c r="E20" s="10"/>
    </x:row>
    <x:row r="21" ht="15" hidden="0" customHeight="1">
      <x:c r="A21" s="21" t="str">
        <x:v>Runway at fixed HQ outflow (days)</x:v>
      </x:c>
      <x:c r="B21" s="25" t="n">
        <x:f>C31/B20</x:f>
        <x:v>1000</x:v>
      </x:c>
      <x:c r="C21" s="21"/>
      <x:c r="D21" s="21" t="str">
        <x:v>Opening balance divided by fixed HQ daily outflow.</x:v>
      </x:c>
      <x:c r="E21" s="10"/>
    </x:row>
    <x:row r="22" ht="24" hidden="0" customHeight="1">
      <x:c r="A22" s="21" t="str">
        <x:v>Gate capacity target with reserve (W)</x:v>
      </x:c>
      <x:c r="B22" s="22" t="n">
        <x:f>C55*C57</x:f>
        <x:v>3000</x:v>
      </x:c>
      <x:c r="C22" s="21"/>
      <x:c r="D22" s="21" t="str">
        <x:v>Machine capacity hypothesis; power is not converted to dollars.</x:v>
      </x:c>
      <x:c r="E22" s="10"/>
    </x:row>
    <x:row r="23" ht="15" hidden="0" customHeight="1">
      <x:c r="A23" s="21" t="str">
        <x:v>First opening window (minutes)</x:v>
      </x:c>
      <x:c r="B23" s="22" t="n">
        <x:f>C56</x:f>
        <x:v>20</x:v>
      </x:c>
      <x:c r="C23" s="21"/>
      <x:c r="D23" s="21" t="str">
        <x:v>First expedition window hypothesis.</x:v>
      </x:c>
      <x:c r="E23" s="10"/>
    </x:row>
    <x:row r="24" ht="15" hidden="0" customHeight="1">
      <x:c r="A24" s="21" t="str">
        <x:v>Maximum field crew (pawns)</x:v>
      </x:c>
      <x:c r="B24" s="22" t="n">
        <x:f>C58</x:f>
        <x:v>3</x:v>
      </x:c>
      <x:c r="C24" s="21"/>
      <x:c r="D24" s="21" t="str">
        <x:v>A qualified operator stays at the facility.</x:v>
      </x:c>
      <x:c r="E24" s="10"/>
    </x:row>
    <x:row r="25" ht="24" hidden="0" customHeight="1">
      <x:c r="A25" s="21" t="str">
        <x:v>Optional first-run salvage test envelope (kg)</x:v>
      </x:c>
      <x:c r="B25" s="22" t="n">
        <x:f>C59</x:f>
        <x:v>30</x:v>
      </x:c>
      <x:c r="C25" s="21"/>
      <x:c r="D25" s="21" t="str">
        <x:v>Test-only ceiling; lower actual carry/exit/storage capacity wins.</x:v>
      </x:c>
      <x:c r="E25" s="10"/>
    </x:row>
    <x:row r="26" ht="15" hidden="0" customHeight="1">
      <x:c r="A26" s="21" t="str">
        <x:v>Research insight per successful survey</x:v>
      </x:c>
      <x:c r="B26" s="22" t="n">
        <x:f>C60</x:f>
        <x:v>1</x:v>
      </x:c>
      <x:c r="C26" s="21"/>
      <x:c r="D26" s="21" t="str">
        <x:v>A local research input, not transferable currency.</x:v>
      </x:c>
      <x:c r="E26" s="10"/>
    </x:row>
    <x:row r="27" ht="38" hidden="0" customHeight="1">
      <x:c r="A27" s="129" t="str">
        <x:v>Added quotes</x:v>
      </x:c>
      <x:c r="B27" s="131" t="n">
        <x:f>-'Recovery &amp; Capital'!$I$7</x:f>
        <x:v>0</x:v>
      </x:c>
      <x:c r="C27" s="10"/>
      <x:c r="D27" s="132" t="str">
        <x:v>Separate USD quote inputs; delivered goods remain physical stock.</x:v>
      </x:c>
      <x:c r="E27" s="10"/>
    </x:row>
    <x:row r="28" ht="20" customHeight="1">
      <x:c r="A28" s="75" t="str">
        <x:v>Editable model inputs</x:v>
      </x:c>
      <x:c r="B28" s="75"/>
      <x:c r="C28" s="75"/>
      <x:c r="D28" s="75"/>
      <x:c r="E28" s="75"/>
    </x:row>
    <x:row r="29" ht="20" customHeight="1">
      <x:c r="A29" s="76" t="str">
        <x:v>Inputs below match the v0.2 model. Food and all purchased goods remain physical; the account is a ledger, never a silver stack.</x:v>
      </x:c>
      <x:c r="B29" s="76"/>
      <x:c r="C29" s="76"/>
      <x:c r="D29" s="76"/>
      <x:c r="E29" s="76"/>
    </x:row>
    <x:row r="30" ht="20" customHeight="1">
      <x:c r="A30" s="69" t="str">
        <x:v>Group</x:v>
      </x:c>
      <x:c r="B30" s="69" t="str">
        <x:v>Driver</x:v>
      </x:c>
      <x:c r="C30" s="69" t="str">
        <x:v>Value</x:v>
      </x:c>
      <x:c r="D30" s="69" t="str">
        <x:v>Unit</x:v>
      </x:c>
      <x:c r="E30" s="69" t="str">
        <x:v>Basis / status</x:v>
      </x:c>
    </x:row>
    <x:row r="31" ht="20" customHeight="1">
      <x:c r="A31" s="21" t="str">
        <x:v>Account</x:v>
      </x:c>
      <x:c r="B31" s="21" t="str">
        <x:v>Starting authorized branch allocation</x:v>
      </x:c>
      <x:c r="C31" s="77" t="n">
        <x:v>50000000</x:v>
      </x:c>
      <x:c r="D31" s="21" t="str">
        <x:v>USD</x:v>
      </x:c>
      <x:c r="E31" s="21" t="str">
        <x:v>Scenario start; finite local budget, not the parent valuation.</x:v>
      </x:c>
    </x:row>
    <x:row r="32" ht="20" customHeight="1">
      <x:c r="A32" s="21" t="str">
        <x:v>Period</x:v>
      </x:c>
      <x:c r="B32" s="21" t="str">
        <x:v>Forecast horizon</x:v>
      </x:c>
      <x:c r="C32" s="77" t="n">
        <x:v>30</x:v>
      </x:c>
      <x:c r="D32" s="21" t="str">
        <x:v>days</x:v>
      </x:c>
      <x:c r="E32" s="21" t="str">
        <x:v>Editable model horizon.</x:v>
      </x:c>
    </x:row>
    <x:row r="33" ht="20" customHeight="1">
      <x:c r="A33" s="21" t="str">
        <x:v>Staff</x:v>
      </x:c>
      <x:c r="B33" s="21" t="str">
        <x:v>Starting roster</x:v>
      </x:c>
      <x:c r="C33" s="77" t="n">
        <x:v>5</x:v>
      </x:c>
      <x:c r="D33" s="21" t="str">
        <x:v>pawns</x:v>
      </x:c>
      <x:c r="E33" s="21" t="str">
        <x:v>Scenario start.</x:v>
      </x:c>
    </x:row>
    <x:row r="34" ht="20" customHeight="1">
      <x:c r="A34" s="21" t="str">
        <x:v>Staff</x:v>
      </x:c>
      <x:c r="B34" s="21" t="str">
        <x:v>Base pay</x:v>
      </x:c>
      <x:c r="C34" s="77" t="n">
        <x:v>5000</x:v>
      </x:c>
      <x:c r="D34" s="21" t="str">
        <x:v>USD / pawn / day</x:v>
      </x:c>
      <x:c r="E34" s="21" t="str">
        <x:v>Provisional salary target; specialist premiums are open.</x:v>
      </x:c>
    </x:row>
    <x:row r="35" ht="20" customHeight="1">
      <x:c r="A35" s="21" t="str">
        <x:v>Facility</x:v>
      </x:c>
      <x:c r="B35" s="21" t="str">
        <x:v>HQ administration and communications</x:v>
      </x:c>
      <x:c r="C35" s="77" t="n">
        <x:v>25000</x:v>
      </x:c>
      <x:c r="D35" s="21" t="str">
        <x:v>USD / day</x:v>
      </x:c>
      <x:c r="E35" s="21" t="str">
        <x:v>Excludes physical electricity, fuel, construction materials, and orders.</x:v>
      </x:c>
    </x:row>
    <x:row r="36" ht="20" customHeight="1">
      <x:c r="A36" s="21" t="str">
        <x:v>Food</x:v>
      </x:c>
      <x:c r="B36" s="21" t="str">
        <x:v>Starter physical food coverage</x:v>
      </x:c>
      <x:c r="C36" s="77" t="n">
        <x:v>5</x:v>
      </x:c>
      <x:c r="D36" s="21" t="str">
        <x:v>days</x:v>
      </x:c>
      <x:c r="E36" s="21" t="str">
        <x:v>Food is real stock grown/cooked or shipped.</x:v>
      </x:c>
    </x:row>
    <x:row r="37" ht="20" customHeight="1">
      <x:c r="A37" s="21" t="str">
        <x:v>Food</x:v>
      </x:c>
      <x:c r="B37" s="21" t="str">
        <x:v>Automatic cash cost per person-day</x:v>
      </x:c>
      <x:c r="C37" s="77" t="n">
        <x:v>0</x:v>
      </x:c>
      <x:c r="D37" s="21" t="str">
        <x:v>USD / person / day</x:v>
      </x:c>
      <x:c r="E37" s="21" t="str">
        <x:v>Zero by rule; only an explicit food shipment invoice debits account.</x:v>
      </x:c>
    </x:row>
    <x:row r="38" ht="20" customHeight="1">
      <x:c r="A38" s="21" t="str">
        <x:v>Contract</x:v>
      </x:c>
      <x:c r="B38" s="21" t="str">
        <x:v>Accepted onboarding survey count</x:v>
      </x:c>
      <x:c r="C38" s="77" t="n">
        <x:v>1</x:v>
      </x:c>
      <x:c r="D38" s="21" t="str">
        <x:v>contracts</x:v>
      </x:c>
      <x:c r="E38" s="21" t="str">
        <x:v>One accepted opening contract.</x:v>
      </x:c>
    </x:row>
    <x:row r="39" ht="20" customHeight="1">
      <x:c r="A39" s="21" t="str">
        <x:v>Contract</x:v>
      </x:c>
      <x:c r="B39" s="21" t="str">
        <x:v>Survey payment target</x:v>
      </x:c>
      <x:c r="C39" s="77" t="n">
        <x:v>5000000</x:v>
      </x:c>
      <x:c r="D39" s="21" t="str">
        <x:v>USD / contract</x:v>
      </x:c>
      <x:c r="E39" s="21" t="str">
        <x:v>Posted once for the accepted deliverable.</x:v>
      </x:c>
    </x:row>
    <x:row r="40" ht="20" customHeight="1">
      <x:c r="A40" s="21" t="str">
        <x:v>Contract</x:v>
      </x:c>
      <x:c r="B40" s="21" t="str">
        <x:v>Bonus count in base forecast</x:v>
      </x:c>
      <x:c r="C40" s="77" t="n">
        <x:v>0</x:v>
      </x:c>
      <x:c r="D40" s="21" t="str">
        <x:v>contracts</x:v>
      </x:c>
      <x:c r="E40" s="21" t="str">
        <x:v>Optional records bonus is not assumed.</x:v>
      </x:c>
    </x:row>
    <x:row r="41" ht="20" customHeight="1">
      <x:c r="A41" s="21" t="str">
        <x:v>Contract</x:v>
      </x:c>
      <x:c r="B41" s="21" t="str">
        <x:v>Records bonus target</x:v>
      </x:c>
      <x:c r="C41" s="77" t="n">
        <x:v>1000000</x:v>
      </x:c>
      <x:c r="D41" s="21" t="str">
        <x:v>USD / contract</x:v>
      </x:c>
      <x:c r="E41" s="21" t="str">
        <x:v>Optional; exact condition is shown before dispatch.</x:v>
      </x:c>
    </x:row>
    <x:row r="42" ht="20" customHeight="1">
      <x:c r="A42" s="21" t="str">
        <x:v>Contract</x:v>
      </x:c>
      <x:c r="B42" s="21" t="str">
        <x:v>Failed/late contracts in base forecast</x:v>
      </x:c>
      <x:c r="C42" s="77" t="n">
        <x:v>0</x:v>
      </x:c>
      <x:c r="D42" s="21" t="str">
        <x:v>contracts</x:v>
      </x:c>
      <x:c r="E42" s="21" t="str">
        <x:v>No penalty in the opening case.</x:v>
      </x:c>
    </x:row>
    <x:row r="43" ht="20" customHeight="1">
      <x:c r="A43" s="21" t="str">
        <x:v>Contract</x:v>
      </x:c>
      <x:c r="B43" s="21" t="str">
        <x:v>Maximum penalty target</x:v>
      </x:c>
      <x:c r="C43" s="77" t="n">
        <x:v>1250000</x:v>
      </x:c>
      <x:c r="D43" s="21" t="str">
        <x:v>USD / contract</x:v>
      </x:c>
      <x:c r="E43" s="21" t="str">
        <x:v>Never above 25% of the first payment; only accepted terms apply.</x:v>
      </x:c>
    </x:row>
    <x:row r="44" ht="20" customHeight="1">
      <x:c r="A44" s="21" t="str">
        <x:v>Staff</x:v>
      </x:c>
      <x:c r="B44" s="21" t="str">
        <x:v>Additional hires</x:v>
      </x:c>
      <x:c r="C44" s="77" t="n">
        <x:v>0</x:v>
      </x:c>
      <x:c r="D44" s="21" t="str">
        <x:v>pawns</x:v>
      </x:c>
      <x:c r="E44" s="21" t="str">
        <x:v>Starting roster excluded.</x:v>
      </x:c>
    </x:row>
    <x:row r="45" ht="20" customHeight="1">
      <x:c r="A45" s="21" t="str">
        <x:v>Staff</x:v>
      </x:c>
      <x:c r="B45" s="21" t="str">
        <x:v>Setup per additional hire</x:v>
      </x:c>
      <x:c r="C45" s="77" t="n">
        <x:v>100000</x:v>
      </x:c>
      <x:c r="D45" s="21" t="str">
        <x:v>USD / hire</x:v>
      </x:c>
      <x:c r="E45" s="21" t="str">
        <x:v>One-time onboarding allowance; not a pawn purchase.</x:v>
      </x:c>
    </x:row>
    <x:row r="46" ht="20" customHeight="1">
      <x:c r="A46" s="21" t="str">
        <x:v>Orders</x:v>
      </x:c>
      <x:c r="B46" s="21" t="str">
        <x:v>Survey-kit restock orders</x:v>
      </x:c>
      <x:c r="C46" s="77" t="n">
        <x:v>0</x:v>
      </x:c>
      <x:c r="D46" s="21" t="str">
        <x:v>orders</x:v>
      </x:c>
      <x:c r="E46" s="21" t="str">
        <x:v>No restock order in the base forecast.</x:v>
      </x:c>
    </x:row>
    <x:row r="47" ht="20" customHeight="1">
      <x:c r="A47" s="21" t="str">
        <x:v>Orders</x:v>
      </x:c>
      <x:c r="B47" s="21" t="str">
        <x:v>Survey-kit quote</x:v>
      </x:c>
      <x:c r="C47" s="77" t="n">
        <x:v>750000</x:v>
      </x:c>
      <x:c r="D47" s="21" t="str">
        <x:v>USD / order</x:v>
      </x:c>
      <x:c r="E47" s="21" t="str">
        <x:v>Quoted physical shipment; charge once when ordered.</x:v>
      </x:c>
    </x:row>
    <x:row r="48" ht="20" customHeight="1">
      <x:c r="A48" s="21" t="str">
        <x:v>Research</x:v>
      </x:c>
      <x:c r="B48" s="21" t="str">
        <x:v>Research-material orders</x:v>
      </x:c>
      <x:c r="C48" s="77" t="n">
        <x:v>0</x:v>
      </x:c>
      <x:c r="D48" s="21" t="str">
        <x:v>orders</x:v>
      </x:c>
      <x:c r="E48" s="21" t="str">
        <x:v>Starter stock used first.</x:v>
      </x:c>
    </x:row>
    <x:row r="49" ht="20" customHeight="1">
      <x:c r="A49" s="21" t="str">
        <x:v>Research</x:v>
      </x:c>
      <x:c r="B49" s="21" t="str">
        <x:v>Material order quote</x:v>
      </x:c>
      <x:c r="C49" s="77" t="n">
        <x:v>2000000</x:v>
      </x:c>
      <x:c r="D49" s="21" t="str">
        <x:v>USD / order</x:v>
      </x:c>
      <x:c r="E49" s="21" t="str">
        <x:v>Physical supplies only; research itself uses evidence and staffed work.</x:v>
      </x:c>
    </x:row>
    <x:row r="50" ht="20" customHeight="1">
      <x:c r="A50" s="21" t="str">
        <x:v>Outpost</x:v>
      </x:c>
      <x:c r="B50" s="21" t="str">
        <x:v>Active outpost days</x:v>
      </x:c>
      <x:c r="C50" s="77" t="n">
        <x:v>0</x:v>
      </x:c>
      <x:c r="D50" s="21" t="str">
        <x:v>days</x:v>
      </x:c>
      <x:c r="E50" s="21" t="str">
        <x:v>No active outpost in base forecast.</x:v>
      </x:c>
    </x:row>
    <x:row r="51" ht="20" customHeight="1">
      <x:c r="A51" s="21" t="str">
        <x:v>Outpost</x:v>
      </x:c>
      <x:c r="B51" s="21" t="str">
        <x:v>Lease and service target</x:v>
      </x:c>
      <x:c r="C51" s="77" t="n">
        <x:v>250000</x:v>
      </x:c>
      <x:c r="D51" s="21" t="str">
        <x:v>USD / outpost-day</x:v>
      </x:c>
      <x:c r="E51" s="21" t="str">
        <x:v>Editable allowance; wages, defense, food, and physical supply remain separate.</x:v>
      </x:c>
    </x:row>
    <x:row r="52" ht="20" customHeight="1">
      <x:c r="A52" s="21" t="str">
        <x:v>Facility</x:v>
      </x:c>
      <x:c r="B52" s="21" t="str">
        <x:v>Additional leased-facility days</x:v>
      </x:c>
      <x:c r="C52" s="77" t="n">
        <x:v>0</x:v>
      </x:c>
      <x:c r="D52" s="21" t="str">
        <x:v>days</x:v>
      </x:c>
      <x:c r="E52" s="21" t="str">
        <x:v>No extra rented space in base forecast.</x:v>
      </x:c>
    </x:row>
    <x:row r="53" ht="20" customHeight="1">
      <x:c r="A53" s="21" t="str">
        <x:v>Facility</x:v>
      </x:c>
      <x:c r="B53" s="21" t="str">
        <x:v>Rent target</x:v>
      </x:c>
      <x:c r="C53" s="77" t="n">
        <x:v>100000</x:v>
      </x:c>
      <x:c r="D53" s="21" t="str">
        <x:v>USD / active day</x:v>
      </x:c>
      <x:c r="E53" s="21" t="str">
        <x:v>Only applies after an optional lease starts.</x:v>
      </x:c>
    </x:row>
    <x:row r="54" ht="20" customHeight="1">
      <x:c r="A54" s="21" t="str">
        <x:v>Gate</x:v>
      </x:c>
      <x:c r="B54" s="21" t="str">
        <x:v>Standby draw</x:v>
      </x:c>
      <x:c r="C54" s="77" t="n">
        <x:v>500</x:v>
      </x:c>
      <x:c r="D54" s="21" t="str">
        <x:v>W</x:v>
      </x:c>
      <x:c r="E54" s="21" t="str">
        <x:v>First-slice engineering hypothesis.</x:v>
      </x:c>
    </x:row>
    <x:row r="55" ht="20" customHeight="1">
      <x:c r="A55" s="21" t="str">
        <x:v>Gate</x:v>
      </x:c>
      <x:c r="B55" s="21" t="str">
        <x:v>Open draw</x:v>
      </x:c>
      <x:c r="C55" s="77" t="n">
        <x:v>2000</x:v>
      </x:c>
      <x:c r="D55" s="21" t="str">
        <x:v>W</x:v>
      </x:c>
      <x:c r="E55" s="21" t="str">
        <x:v>First-slice engineering hypothesis.</x:v>
      </x:c>
    </x:row>
    <x:row r="56" ht="20" customHeight="1">
      <x:c r="A56" s="21" t="str">
        <x:v>Gate</x:v>
      </x:c>
      <x:c r="B56" s="21" t="str">
        <x:v>First opening window</x:v>
      </x:c>
      <x:c r="C56" s="77" t="n">
        <x:v>20</x:v>
      </x:c>
      <x:c r="D56" s="21" t="str">
        <x:v>minutes</x:v>
      </x:c>
      <x:c r="E56" s="21" t="str">
        <x:v>Scenario start.</x:v>
      </x:c>
    </x:row>
    <x:row r="57" ht="20" customHeight="1">
      <x:c r="A57" s="21" t="str">
        <x:v>Gate</x:v>
      </x:c>
      <x:c r="B57" s="21" t="str">
        <x:v>Reserve multiplier</x:v>
      </x:c>
      <x:c r="C57" s="77" t="n">
        <x:v>1.5</x:v>
      </x:c>
      <x:c r="D57" s="21" t="str">
        <x:v>x draw</x:v>
      </x:c>
      <x:c r="E57" s="21" t="str">
        <x:v>50% above open draw.</x:v>
      </x:c>
    </x:row>
    <x:row r="58" ht="20" customHeight="1">
      <x:c r="A58" s="21" t="str">
        <x:v>Expedition</x:v>
      </x:c>
      <x:c r="B58" s="21" t="str">
        <x:v>Maximum first crew</x:v>
      </x:c>
      <x:c r="C58" s="77" t="n">
        <x:v>3</x:v>
      </x:c>
      <x:c r="D58" s="21" t="str">
        <x:v>pawns</x:v>
      </x:c>
      <x:c r="E58" s="21" t="str">
        <x:v>Actual readiness and operator rules still apply.</x:v>
      </x:c>
    </x:row>
    <x:row r="59" ht="20" customHeight="1">
      <x:c r="A59" s="21" t="str">
        <x:v>Expedition</x:v>
      </x:c>
      <x:c r="B59" s="21" t="str">
        <x:v>Optional salvage test envelope</x:v>
      </x:c>
      <x:c r="C59" s="77" t="n">
        <x:v>30</x:v>
      </x:c>
      <x:c r="D59" s="21" t="str">
        <x:v>kg</x:v>
      </x:c>
      <x:c r="E59" s="21" t="str">
        <x:v>Not a promise: actual carry, return, storage, and time capacities may lower this.</x:v>
      </x:c>
    </x:row>
    <x:row r="60" ht="20" customHeight="1">
      <x:c r="A60" s="21" t="str">
        <x:v>Research</x:v>
      </x:c>
      <x:c r="B60" s="21" t="str">
        <x:v>Insight per successful survey</x:v>
      </x:c>
      <x:c r="C60" s="77" t="n">
        <x:v>1</x:v>
      </x:c>
      <x:c r="D60" s="21" t="str">
        <x:v>insight</x:v>
      </x:c>
      <x:c r="E60" s="21" t="str">
        <x:v>Local research input, not cash or a transferable balance.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42" hidden="0" customWidth="1"/>
    <x:col min="2" max="2" width="20" hidden="0" customWidth="1"/>
    <x:col min="3" max="3" width="18" hidden="0" customWidth="1"/>
    <x:col min="4" max="4" width="22" hidden="0" customWidth="1"/>
    <x:col min="5" max="5" width="67" hidden="0" customWidth="1"/>
    <x:col min="6" max="6" width="22" hidden="0" customWidth="1"/>
    <x:col min="7" max="7" width="25" hidden="0" customWidth="1"/>
    <x:col min="8" max="8" width="23" hidden="0" customWidth="1"/>
    <x:col min="9" max="9" width="25" hidden="0" customWidth="1"/>
  </x:cols>
  <x:sheetData>
    <x:row r="1" ht="22" customHeight="1">
      <x:c r="A1" s="10"/>
      <x:c r="B1" s="10"/>
      <x:c r="C1" s="10"/>
      <x:c r="D1" s="10"/>
      <x:c r="E1" s="21"/>
    </x:row>
    <x:row r="2" ht="28" customHeight="1">
      <x:c r="A2" s="29" t="str">
        <x:v>Rimrooms - Async Industries: campaign scenarios v0.2</x:v>
      </x:c>
      <x:c r="B2" s="72"/>
      <x:c r="C2" s="72"/>
      <x:c r="D2" s="72"/>
      <x:c r="E2" s="107"/>
    </x:row>
    <x:row r="3" ht="22" customHeight="1">
      <x:c r="A3" s="30" t="str">
        <x:v>Later stages use editable 30-day USD planning cases, not tested prices. Cash stays on each branch ledger; item cargo is separate.</x:v>
      </x:c>
      <x:c r="B3" s="30"/>
      <x:c r="C3" s="30"/>
      <x:c r="D3" s="30"/>
      <x:c r="E3" s="108"/>
    </x:row>
    <x:row r="4" ht="22" customHeight="1">
      <x:c r="A4" s="30" t="str">
        <x:v>Downside starts without the first survey receipt and earns fewer contracts. Negative close means the listed plan needs adjustment; it does not imply debt or automatic parent funding.</x:v>
      </x:c>
      <x:c r="B4" s="30"/>
      <x:c r="C4" s="30"/>
      <x:c r="D4" s="30"/>
      <x:c r="E4" s="108"/>
    </x:row>
    <x:row r="5" ht="22" customHeight="1">
      <x:c r="A5" s="231"/>
      <x:c r="B5" s="231"/>
      <x:c r="C5" s="231"/>
      <x:c r="D5" s="231"/>
      <x:c r="E5" s="232"/>
      <x:c r="F5" s="231"/>
      <x:c r="G5" s="231"/>
      <x:c r="H5" s="231"/>
      <x:c r="I5" s="231"/>
    </x:row>
    <x:row r="6" ht="24" customHeight="1">
      <x:c r="A6" s="351" t="str">
        <x:v>Thirty-day stage account outlook (USD)</x:v>
      </x:c>
      <x:c r="B6" s="351"/>
      <x:c r="C6" s="351"/>
      <x:c r="D6" s="351"/>
      <x:c r="E6" s="352"/>
      <x:c r="F6" s="351"/>
      <x:c r="G6" s="351"/>
      <x:c r="H6" s="351"/>
      <x:c r="I6" s="351"/>
    </x:row>
    <x:row r="7" ht="42" customHeight="1">
      <x:c r="A7" s="133" t="str">
        <x:v>Campaign stage</x:v>
      </x:c>
      <x:c r="B7" s="133" t="str">
        <x:v>Base close (USD)</x:v>
      </x:c>
      <x:c r="C7" s="133" t="str">
        <x:v>Downside close (USD)</x:v>
      </x:c>
      <x:c r="D7" s="133" t="str">
        <x:v>Base paid contracts</x:v>
      </x:c>
      <x:c r="E7" s="133" t="str">
        <x:v>Downside paid contracts</x:v>
      </x:c>
      <x:c r="F7" s="353" t="str">
        <x:v>No-contract close (USD)</x:v>
      </x:c>
      <x:c r="G7" s="353" t="str">
        <x:v>Recovery close before funding (USD)</x:v>
      </x:c>
      <x:c r="H7" s="353" t="str">
        <x:v>Approved milestone release (USD)</x:v>
      </x:c>
      <x:c r="I7" s="353" t="str">
        <x:v>Recovery close after funding (USD)</x:v>
      </x:c>
    </x:row>
    <x:row r="8" ht="22" customHeight="1">
      <x:c r="A8" s="47" t="str">
        <x:v>Stage 1: First safe survey</x:v>
      </x:c>
      <x:c r="B8" s="96" t="n">
        <x:f>'Economy'!$B$19</x:f>
        <x:v>53500000</x:v>
      </x:c>
      <x:c r="C8" s="96" t="n">
        <x:f>'Economy'!$B$19-'Economy'!$B$8</x:f>
        <x:v>48500000</x:v>
      </x:c>
      <x:c r="D8" s="49" t="n">
        <x:v>1</x:v>
      </x:c>
      <x:c r="E8" s="111" t="n">
        <x:v>0</x:v>
      </x:c>
      <x:c r="F8" s="136" t="n">
        <x:f>'Recovery &amp; Capital'!$E$39</x:f>
        <x:v>48500000</x:v>
      </x:c>
      <x:c r="G8" s="136" t="n">
        <x:f>'Recovery &amp; Capital'!$G$39</x:f>
        <x:v>48500000</x:v>
      </x:c>
      <x:c r="H8" s="136" t="n">
        <x:f>'Recovery &amp; Capital'!$H$39</x:f>
        <x:v>0</x:v>
      </x:c>
      <x:c r="I8" s="136" t="n">
        <x:f>'Recovery &amp; Capital'!$I$39</x:f>
        <x:v>48500000</x:v>
      </x:c>
    </x:row>
    <x:row r="9" ht="22" customHeight="1">
      <x:c r="A9" s="47" t="str">
        <x:v>Repeat access</x:v>
      </x:c>
      <x:c r="B9" s="96" t="n">
        <x:f>C54</x:f>
        <x:v>56250000</x:v>
      </x:c>
      <x:c r="C9" s="96" t="n">
        <x:f>C57</x:f>
        <x:v>48750000</x:v>
      </x:c>
      <x:c r="D9" s="49" t="n">
        <x:f>C35</x:f>
        <x:v>2</x:v>
      </x:c>
      <x:c r="E9" s="111" t="n">
        <x:f>C36</x:f>
        <x:v>1</x:v>
      </x:c>
      <x:c r="F9" s="136" t="n">
        <x:f>'Recovery &amp; Capital'!$E$40</x:f>
        <x:v>51250000</x:v>
      </x:c>
      <x:c r="G9" s="136" t="n">
        <x:f>'Recovery &amp; Capital'!$G$40</x:f>
        <x:v>52000000</x:v>
      </x:c>
      <x:c r="H9" s="136" t="n">
        <x:f>'Recovery &amp; Capital'!$H$40</x:f>
        <x:v>0</x:v>
      </x:c>
      <x:c r="I9" s="136" t="n">
        <x:f>'Recovery &amp; Capital'!$I$40</x:f>
        <x:v>52000000</x:v>
      </x:c>
    </x:row>
    <x:row r="10" ht="22" customHeight="1">
      <x:c r="A10" s="47" t="str">
        <x:v>Specialist services</x:v>
      </x:c>
      <x:c r="B10" s="96" t="n">
        <x:f>C84</x:f>
        <x:v>81500000</x:v>
      </x:c>
      <x:c r="C10" s="96" t="n">
        <x:f>C87</x:f>
        <x:v>54000000</x:v>
      </x:c>
      <x:c r="D10" s="49" t="n">
        <x:f>C65</x:f>
        <x:v>3</x:v>
      </x:c>
      <x:c r="E10" s="111" t="n">
        <x:f>C66</x:f>
        <x:v>1</x:v>
      </x:c>
      <x:c r="F10" s="136" t="n">
        <x:f>'Recovery &amp; Capital'!$E$41</x:f>
        <x:v>51500000</x:v>
      </x:c>
      <x:c r="G10" s="136" t="n">
        <x:f>'Recovery &amp; Capital'!$G$41</x:f>
        <x:v>54750000</x:v>
      </x:c>
      <x:c r="H10" s="136" t="n">
        <x:f>'Recovery &amp; Capital'!$H$41</x:f>
        <x:v>0</x:v>
      </x:c>
      <x:c r="I10" s="136" t="n">
        <x:f>'Recovery &amp; Capital'!$I$41</x:f>
        <x:v>54750000</x:v>
      </x:c>
    </x:row>
    <x:row r="11" ht="22" customHeight="1">
      <x:c r="A11" s="47" t="str">
        <x:v>Leases and remote sites</x:v>
      </x:c>
      <x:c r="B11" s="96" t="n">
        <x:f>C114</x:f>
        <x:v>169200000</x:v>
      </x:c>
      <x:c r="C11" s="96" t="n">
        <x:f>C117</x:f>
        <x:v>91700000</x:v>
      </x:c>
      <x:c r="D11" s="49" t="n">
        <x:f>C95</x:f>
        <x:v>4</x:v>
      </x:c>
      <x:c r="E11" s="111" t="n">
        <x:f>C96</x:f>
        <x:v>2</x:v>
      </x:c>
      <x:c r="F11" s="136" t="n">
        <x:f>'Recovery &amp; Capital'!$E$42</x:f>
        <x:v>69200000</x:v>
      </x:c>
      <x:c r="G11" s="136" t="n">
        <x:f>'Recovery &amp; Capital'!$G$42</x:f>
        <x:v>79700000</x:v>
      </x:c>
      <x:c r="H11" s="136" t="n">
        <x:f>'Recovery &amp; Capital'!$H$42</x:f>
        <x:v>0</x:v>
      </x:c>
      <x:c r="I11" s="136" t="n">
        <x:f>'Recovery &amp; Capital'!$I$42</x:f>
        <x:v>79700000</x:v>
      </x:c>
    </x:row>
    <x:row r="12" ht="22" customHeight="1">
      <x:c r="A12" s="47" t="str">
        <x:v>Large recovery and network work</x:v>
      </x:c>
      <x:c r="B12" s="96" t="n">
        <x:f>C144</x:f>
        <x:v>518750000</x:v>
      </x:c>
      <x:c r="C12" s="96" t="n">
        <x:f>C147</x:f>
        <x:v>216250000</x:v>
      </x:c>
      <x:c r="D12" s="49" t="n">
        <x:f>C125</x:f>
        <x:v>5</x:v>
      </x:c>
      <x:c r="E12" s="111" t="n">
        <x:f>C126</x:f>
        <x:v>2</x:v>
      </x:c>
      <x:c r="F12" s="136" t="n">
        <x:f>'Recovery &amp; Capital'!$E$43</x:f>
        <x:v>143750000</x:v>
      </x:c>
      <x:c r="G12" s="136" t="n">
        <x:f>'Recovery &amp; Capital'!$G$43</x:f>
        <x:v>167250000</x:v>
      </x:c>
      <x:c r="H12" s="136" t="n">
        <x:f>'Recovery &amp; Capital'!$H$43</x:f>
        <x:v>0</x:v>
      </x:c>
      <x:c r="I12" s="136" t="n">
        <x:f>'Recovery &amp; Capital'!$I$43</x:f>
        <x:v>167250000</x:v>
      </x:c>
    </x:row>
    <x:row r="13" ht="22" customHeight="1">
      <x:c r="A13" s="47" t="str">
        <x:v>Vehicle and optional orbital support</x:v>
      </x:c>
      <x:c r="B13" s="96" t="n">
        <x:f>C174</x:f>
        <x:v>1203500000</x:v>
      </x:c>
      <x:c r="C13" s="96" t="n">
        <x:f>C177</x:f>
        <x:v>451000000</x:v>
      </x:c>
      <x:c r="D13" s="49" t="n">
        <x:f>C155</x:f>
        <x:v>5</x:v>
      </x:c>
      <x:c r="E13" s="111" t="n">
        <x:f>C156</x:f>
        <x:v>2</x:v>
      </x:c>
      <x:c r="F13" s="136" t="n">
        <x:f>'Recovery &amp; Capital'!$E$44</x:f>
        <x:v>453500000</x:v>
      </x:c>
      <x:c r="G13" s="136" t="n">
        <x:f>'Recovery &amp; Capital'!$G$44</x:f>
        <x:v>516500000</x:v>
      </x:c>
      <x:c r="H13" s="136" t="n">
        <x:f>'Recovery &amp; Capital'!$H$44</x:f>
        <x:v>0</x:v>
      </x:c>
      <x:c r="I13" s="136" t="n">
        <x:f>'Recovery &amp; Capital'!$I$44</x:f>
        <x:v>516500000</x:v>
      </x:c>
    </x:row>
    <x:row r="14" ht="22" customHeight="1">
      <x:c r="A14" s="50" t="str">
        <x:v>Deep-site operations</x:v>
      </x:c>
      <x:c r="B14" s="97" t="n">
        <x:f>C204</x:f>
        <x:v>2285000000</x:v>
      </x:c>
      <x:c r="C14" s="97" t="n">
        <x:f>C207</x:f>
        <x:v>632500000</x:v>
      </x:c>
      <x:c r="D14" s="51" t="n">
        <x:f>C185</x:f>
        <x:v>4</x:v>
      </x:c>
      <x:c r="E14" s="112" t="n">
        <x:f>C186</x:f>
        <x:v>1</x:v>
      </x:c>
      <x:c r="F14" s="136" t="n">
        <x:f>'Recovery &amp; Capital'!$E$45</x:f>
        <x:v>1085000000</x:v>
      </x:c>
      <x:c r="G14" s="136" t="n">
        <x:f>'Recovery &amp; Capital'!$G$45</x:f>
        <x:v>1201250000</x:v>
      </x:c>
      <x:c r="H14" s="136" t="n">
        <x:f>'Recovery &amp; Capital'!$H$45</x:f>
        <x:v>0</x:v>
      </x:c>
      <x:c r="I14" s="136" t="n">
        <x:f>'Recovery &amp; Capital'!$I$45</x:f>
        <x:v>1201250000</x:v>
      </x:c>
    </x:row>
    <x:row r="15" ht="22" customHeight="1">
      <x:c r="A15" s="10"/>
      <x:c r="B15" s="10"/>
      <x:c r="C15" s="10"/>
      <x:c r="D15" s="10"/>
      <x:c r="E15" s="21"/>
    </x:row>
    <x:row r="16" ht="22" customHeight="1">
      <x:c r="A16" s="90" t="str">
        <x:v>Opening cost and balance inputs linked from Economy</x:v>
      </x:c>
      <x:c r="B16" s="90"/>
      <x:c r="C16" s="90"/>
      <x:c r="D16" s="90"/>
      <x:c r="E16" s="109"/>
    </x:row>
    <x:row r="17" ht="22" customHeight="1">
      <x:c r="A17" s="94" t="str">
        <x:v>Linked input</x:v>
      </x:c>
      <x:c r="B17" s="94" t="str">
        <x:v>Value</x:v>
      </x:c>
      <x:c r="C17" s="94" t="str">
        <x:v>Unit</x:v>
      </x:c>
      <x:c r="D17" s="94" t="str">
        <x:v>Source</x:v>
      </x:c>
      <x:c r="E17" s="110" t="str">
        <x:v>Use in cases</x:v>
      </x:c>
    </x:row>
    <x:row r="18" ht="22" customHeight="1">
      <x:c r="A18" s="10" t="str">
        <x:v>Base staff pay</x:v>
      </x:c>
      <x:c r="B18" s="100" t="n">
        <x:f>'Economy'!$C$34</x:f>
        <x:v>5000</x:v>
      </x:c>
      <x:c r="C18" s="10" t="str">
        <x:v>USD / pawn / day</x:v>
      </x:c>
      <x:c r="D18" s="10" t="str">
        <x:v>Economy!C34</x:v>
      </x:c>
      <x:c r="E18" s="21" t="str">
        <x:v>Payroll only; add specialist premiums after estimating them.</x:v>
      </x:c>
    </x:row>
    <x:row r="19" ht="22" customHeight="1">
      <x:c r="A19" s="10" t="str">
        <x:v>HQ overhead</x:v>
      </x:c>
      <x:c r="B19" s="100" t="n">
        <x:f>'Economy'!$C$35</x:f>
        <x:v>25000</x:v>
      </x:c>
      <x:c r="C19" s="10" t="str">
        <x:v>USD / day</x:v>
      </x:c>
      <x:c r="D19" s="10" t="str">
        <x:v>Economy!C35</x:v>
      </x:c>
      <x:c r="E19" s="21" t="str">
        <x:v>Routine administration/communications.</x:v>
      </x:c>
    </x:row>
    <x:row r="20" ht="22" customHeight="1">
      <x:c r="A20" s="10" t="str">
        <x:v>Automatic food cash debit</x:v>
      </x:c>
      <x:c r="B20" s="100" t="n">
        <x:f>'Economy'!$C$37</x:f>
        <x:v>0</x:v>
      </x:c>
      <x:c r="C20" s="10" t="str">
        <x:v>USD / person / day</x:v>
      </x:c>
      <x:c r="D20" s="10" t="str">
        <x:v>Economy!C37</x:v>
      </x:c>
      <x:c r="E20" s="21" t="str">
        <x:v>Zero by rule; physical food shipments use a separate accepted order.</x:v>
      </x:c>
    </x:row>
    <x:row r="21" ht="22" customHeight="1">
      <x:c r="A21" s="10" t="str">
        <x:v>New-hire setup</x:v>
      </x:c>
      <x:c r="B21" s="100" t="n">
        <x:f>'Economy'!$C$45</x:f>
        <x:v>100000</x:v>
      </x:c>
      <x:c r="C21" s="10" t="str">
        <x:v>USD / hire</x:v>
      </x:c>
      <x:c r="D21" s="10" t="str">
        <x:v>Economy!C45</x:v>
      </x:c>
      <x:c r="E21" s="21" t="str">
        <x:v>One-time onboarding.</x:v>
      </x:c>
    </x:row>
    <x:row r="22" ht="22" customHeight="1">
      <x:c r="A22" s="10" t="str">
        <x:v>Outpost lease and service</x:v>
      </x:c>
      <x:c r="B22" s="100" t="n">
        <x:f>'Economy'!$C$51</x:f>
        <x:v>250000</x:v>
      </x:c>
      <x:c r="C22" s="10" t="str">
        <x:v>USD / outpost-day</x:v>
      </x:c>
      <x:c r="D22" s="10" t="str">
        <x:v>Economy!C51</x:v>
      </x:c>
      <x:c r="E22" s="21" t="str">
        <x:v>Physical supplies and wages remain separate.</x:v>
      </x:c>
    </x:row>
    <x:row r="23" ht="22" customHeight="1">
      <x:c r="A23" s="10" t="str">
        <x:v>Additional facility rent</x:v>
      </x:c>
      <x:c r="B23" s="100" t="n">
        <x:f>'Economy'!$C$53</x:f>
        <x:v>100000</x:v>
      </x:c>
      <x:c r="C23" s="10" t="str">
        <x:v>USD / active day</x:v>
      </x:c>
      <x:c r="D23" s="10" t="str">
        <x:v>Economy!C53</x:v>
      </x:c>
      <x:c r="E23" s="21" t="str">
        <x:v>Only applies to a started lease.</x:v>
      </x:c>
    </x:row>
    <x:row r="24" ht="22" customHeight="1">
      <x:c r="A24" s="10" t="str">
        <x:v>Survey-kit restock</x:v>
      </x:c>
      <x:c r="B24" s="100" t="n">
        <x:f>'Economy'!$C$47</x:f>
        <x:v>750000</x:v>
      </x:c>
      <x:c r="C24" s="10" t="str">
        <x:v>USD / order</x:v>
      </x:c>
      <x:c r="D24" s="10" t="str">
        <x:v>Economy!C47</x:v>
      </x:c>
      <x:c r="E24" s="21" t="str">
        <x:v>An order creates physical cargo on delivery.</x:v>
      </x:c>
    </x:row>
    <x:row r="25" ht="22" customHeight="1">
      <x:c r="A25" s="10" t="str">
        <x:v>Research-material order</x:v>
      </x:c>
      <x:c r="B25" s="100" t="n">
        <x:f>'Economy'!$C$49</x:f>
        <x:v>2000000</x:v>
      </x:c>
      <x:c r="C25" s="10" t="str">
        <x:v>USD / order</x:v>
      </x:c>
      <x:c r="D25" s="10" t="str">
        <x:v>Economy!C49</x:v>
      </x:c>
      <x:c r="E25" s="21" t="str">
        <x:v>An order creates physical stock on delivery.</x:v>
      </x:c>
    </x:row>
    <x:row r="26" ht="22" customHeight="1">
      <x:c r="A26" s="10" t="str">
        <x:v>Stage 1 close after survey</x:v>
      </x:c>
      <x:c r="B26" s="100" t="n">
        <x:f>'Economy'!$B$19</x:f>
        <x:v>53500000</x:v>
      </x:c>
      <x:c r="C26" s="10" t="str">
        <x:v>USD</x:v>
      </x:c>
      <x:c r="D26" s="10" t="str">
        <x:v>Economy!B19</x:v>
      </x:c>
      <x:c r="E26" s="21" t="str">
        <x:v>Planning case opening for Stage 2.</x:v>
      </x:c>
    </x:row>
    <x:row r="27" ht="22" customHeight="1">
      <x:c r="A27" s="10" t="str">
        <x:v>Stage 1 close without survey</x:v>
      </x:c>
      <x:c r="B27" s="100" t="n">
        <x:f>'Economy'!$B$19-'Economy'!$B$8</x:f>
        <x:v>48500000</x:v>
      </x:c>
      <x:c r="C27" s="10" t="str">
        <x:v>USD</x:v>
      </x:c>
      <x:c r="D27" s="10" t="str">
        <x:v>Economy!B19 minus Economy!B8</x:v>
      </x:c>
      <x:c r="E27" s="21" t="str">
        <x:v>Downside opening for Stage 2.</x:v>
      </x:c>
    </x:row>
    <x:row r="28" ht="22" customHeight="1">
      <x:c r="A28" s="10"/>
      <x:c r="B28" s="10"/>
      <x:c r="C28" s="10"/>
      <x:c r="D28" s="10"/>
      <x:c r="E28" s="21"/>
    </x:row>
    <x:row r="29" ht="22" customHeight="1">
      <x:c r="A29" s="10"/>
      <x:c r="B29" s="10"/>
      <x:c r="C29" s="10"/>
      <x:c r="D29" s="10"/>
      <x:c r="E29" s="21"/>
    </x:row>
    <x:row r="30" ht="22" customHeight="1">
      <x:c r="A30" s="90" t="str">
        <x:v>Stage 2: Repeat access</x:v>
      </x:c>
      <x:c r="B30" s="90"/>
      <x:c r="C30" s="90"/>
      <x:c r="D30" s="90"/>
      <x:c r="E30" s="109"/>
    </x:row>
    <x:row r="31" ht="22" customHeight="1">
      <x:c r="A31" s="94" t="str">
        <x:v>Type</x:v>
      </x:c>
      <x:c r="B31" s="94" t="str">
        <x:v>Driver</x:v>
      </x:c>
      <x:c r="C31" s="94" t="str">
        <x:v>Value</x:v>
      </x:c>
      <x:c r="D31" s="94" t="str">
        <x:v>Unit</x:v>
      </x:c>
      <x:c r="E31" s="110" t="str">
        <x:v>Basis / status</x:v>
      </x:c>
    </x:row>
    <x:row r="32" ht="22" customHeight="1">
      <x:c r="A32" s="10" t="str">
        <x:v>Input</x:v>
      </x:c>
      <x:c r="B32" s="10" t="str">
        <x:v>Period length</x:v>
      </x:c>
      <x:c r="C32" s="101" t="n">
        <x:v>30</x:v>
      </x:c>
      <x:c r="D32" s="10" t="str">
        <x:v>days</x:v>
      </x:c>
      <x:c r="E32" s="21" t="str">
        <x:v>Full 30-day period.</x:v>
      </x:c>
    </x:row>
    <x:row r="33" ht="22" customHeight="1">
      <x:c r="A33" s="10" t="str">
        <x:v>Input</x:v>
      </x:c>
      <x:c r="B33" s="10" t="str">
        <x:v>Active staff</x:v>
      </x:c>
      <x:c r="C33" s="101" t="n">
        <x:v>5</x:v>
      </x:c>
      <x:c r="D33" s="10" t="str">
        <x:v>pawns</x:v>
      </x:c>
      <x:c r="E33" s="21" t="str">
        <x:v>Current five-person roster.</x:v>
      </x:c>
    </x:row>
    <x:row r="34" ht="22" customHeight="1">
      <x:c r="A34" s="10" t="str">
        <x:v>Input</x:v>
      </x:c>
      <x:c r="B34" s="10" t="str">
        <x:v>New hires</x:v>
      </x:c>
      <x:c r="C34" s="101" t="n">
        <x:v>0</x:v>
      </x:c>
      <x:c r="D34" s="10" t="str">
        <x:v>pawns</x:v>
      </x:c>
      <x:c r="E34" s="21" t="str">
        <x:v>No hires.</x:v>
      </x:c>
    </x:row>
    <x:row r="35" ht="22" customHeight="1">
      <x:c r="A35" s="10" t="str">
        <x:v>Input</x:v>
      </x:c>
      <x:c r="B35" s="10" t="str">
        <x:v>Contracts paid, planning case</x:v>
      </x:c>
      <x:c r="C35" s="101" t="n">
        <x:v>2</x:v>
      </x:c>
      <x:c r="D35" s="10" t="str">
        <x:v>contracts</x:v>
      </x:c>
      <x:c r="E35" s="21" t="str">
        <x:v>Two accepted contract results paid in period.</x:v>
      </x:c>
    </x:row>
    <x:row r="36" ht="22" customHeight="1">
      <x:c r="A36" s="10" t="str">
        <x:v>Input</x:v>
      </x:c>
      <x:c r="B36" s="10" t="str">
        <x:v>Contracts paid, downside case</x:v>
      </x:c>
      <x:c r="C36" s="101" t="n">
        <x:v>1</x:v>
      </x:c>
      <x:c r="D36" s="10" t="str">
        <x:v>contracts</x:v>
      </x:c>
      <x:c r="E36" s="21" t="str">
        <x:v>One fewer paid contract.</x:v>
      </x:c>
    </x:row>
    <x:row r="37" ht="22" customHeight="1">
      <x:c r="A37" s="10" t="str">
        <x:v>Input</x:v>
      </x:c>
      <x:c r="B37" s="10" t="str">
        <x:v>Average contract receipt</x:v>
      </x:c>
      <x:c r="C37" s="101" t="n">
        <x:v>2500000</x:v>
      </x:c>
      <x:c r="D37" s="10" t="str">
        <x:v>USD / contract</x:v>
      </x:c>
      <x:c r="E37" s="21" t="str">
        <x:v>Planning average only; generated quotes depend on scope and evidence.</x:v>
      </x:c>
    </x:row>
    <x:row r="38" ht="22" customHeight="1">
      <x:c r="A38" s="10" t="str">
        <x:v>Input</x:v>
      </x:c>
      <x:c r="B38" s="10" t="str">
        <x:v>Active outpost days</x:v>
      </x:c>
      <x:c r="C38" s="101" t="n">
        <x:v>0</x:v>
      </x:c>
      <x:c r="D38" s="10" t="str">
        <x:v>days</x:v>
      </x:c>
      <x:c r="E38" s="21" t="str">
        <x:v>No outpost.</x:v>
      </x:c>
    </x:row>
    <x:row r="39" ht="22" customHeight="1">
      <x:c r="A39" s="10" t="str">
        <x:v>Input</x:v>
      </x:c>
      <x:c r="B39" s="10" t="str">
        <x:v>Additional facility lease days</x:v>
      </x:c>
      <x:c r="C39" s="101" t="n">
        <x:v>0</x:v>
      </x:c>
      <x:c r="D39" s="10" t="str">
        <x:v>days</x:v>
      </x:c>
      <x:c r="E39" s="21" t="str">
        <x:v>No additional company lease.</x:v>
      </x:c>
    </x:row>
    <x:row r="40" ht="22" customHeight="1">
      <x:c r="A40" s="10" t="str">
        <x:v>Input</x:v>
      </x:c>
      <x:c r="B40" s="10" t="str">
        <x:v>Survey-kit orders</x:v>
      </x:c>
      <x:c r="C40" s="101" t="n">
        <x:v>1</x:v>
      </x:c>
      <x:c r="D40" s="10" t="str">
        <x:v>orders</x:v>
      </x:c>
      <x:c r="E40" s="21" t="str">
        <x:v>One physical kit order.</x:v>
      </x:c>
    </x:row>
    <x:row r="41" ht="22" customHeight="1">
      <x:c r="A41" s="10" t="str">
        <x:v>Input</x:v>
      </x:c>
      <x:c r="B41" s="10" t="str">
        <x:v>Research-material orders</x:v>
      </x:c>
      <x:c r="C41" s="101" t="n">
        <x:v>0</x:v>
      </x:c>
      <x:c r="D41" s="10" t="str">
        <x:v>orders</x:v>
      </x:c>
      <x:c r="E41" s="21" t="str">
        <x:v>No research-supply order.</x:v>
      </x:c>
    </x:row>
    <x:row r="42" ht="22" customHeight="1">
      <x:c r="A42" s="10" t="str">
        <x:v>Input</x:v>
      </x:c>
      <x:c r="B42" s="10" t="str">
        <x:v>Other explicit quoted costs</x:v>
      </x:c>
      <x:c r="C42" s="101" t="n">
        <x:v>0</x:v>
      </x:c>
      <x:c r="D42" s="10" t="str">
        <x:v>USD / period</x:v>
      </x:c>
      <x:c r="E42" s="21" t="str">
        <x:v>No extra quoted support cost.</x:v>
      </x:c>
    </x:row>
    <x:row r="43" ht="22" customHeight="1">
      <x:c r="A43" s="10" t="str">
        <x:v>Calculation</x:v>
      </x:c>
      <x:c r="B43" s="10" t="str">
        <x:v>Opening account, planning</x:v>
      </x:c>
      <x:c r="C43" s="102" t="n">
        <x:f>$B$26</x:f>
        <x:v>53500000</x:v>
      </x:c>
      <x:c r="D43" s="10" t="str">
        <x:v>USD</x:v>
      </x:c>
      <x:c r="E43" s="21" t="str">
        <x:v>Carries the prior stage balance on this branch.</x:v>
      </x:c>
    </x:row>
    <x:row r="44" ht="22" customHeight="1">
      <x:c r="A44" s="10" t="str">
        <x:v>Calculation</x:v>
      </x:c>
      <x:c r="B44" s="10" t="str">
        <x:v>Contract receipts, planning</x:v>
      </x:c>
      <x:c r="C44" s="102" t="n">
        <x:f>C35*C37</x:f>
        <x:v>5000000</x:v>
      </x:c>
      <x:c r="D44" s="10" t="str">
        <x:v>USD</x:v>
      </x:c>
      <x:c r="E44" s="21" t="str">
        <x:v>Only completed, accepted, paid deliverables create receipts.</x:v>
      </x:c>
    </x:row>
    <x:row r="45" ht="22" customHeight="1">
      <x:c r="A45" s="10" t="str">
        <x:v>Calculation</x:v>
      </x:c>
      <x:c r="B45" s="10" t="str">
        <x:v>Payroll</x:v>
      </x:c>
      <x:c r="C45" s="102" t="n">
        <x:f>-(C33*$B$18*C32)</x:f>
        <x:v>-750000</x:v>
      </x:c>
      <x:c r="D45" s="10" t="str">
        <x:v>USD</x:v>
      </x:c>
      <x:c r="E45" s="21" t="str">
        <x:v>Full-period staffing at linked base pay.</x:v>
      </x:c>
    </x:row>
    <x:row r="46" ht="22" customHeight="1">
      <x:c r="A46" s="10" t="str">
        <x:v>Calculation</x:v>
      </x:c>
      <x:c r="B46" s="10" t="str">
        <x:v>HQ overhead</x:v>
      </x:c>
      <x:c r="C46" s="102" t="n">
        <x:f>-(C32*$B$19)</x:f>
        <x:v>-750000</x:v>
      </x:c>
      <x:c r="D46" s="10" t="str">
        <x:v>USD</x:v>
      </x:c>
      <x:c r="E46" s="21" t="str">
        <x:v>Routine overhead; not a charge for power draw.</x:v>
      </x:c>
    </x:row>
    <x:row r="47" ht="22" customHeight="1">
      <x:c r="A47" s="10" t="str">
        <x:v>Calculation</x:v>
      </x:c>
      <x:c r="B47" s="10" t="str">
        <x:v>Automatic food debit</x:v>
      </x:c>
      <x:c r="C47" s="102" t="n">
        <x:f>-(C33*C32*$B$20)</x:f>
        <x:v>0</x:v>
      </x:c>
      <x:c r="D47" s="10" t="str">
        <x:v>USD</x:v>
      </x:c>
      <x:c r="E47" s="21" t="str">
        <x:v>Zero for ordinary meals; purchased food needs an explicit invoice.</x:v>
      </x:c>
    </x:row>
    <x:row r="48" ht="22" customHeight="1">
      <x:c r="A48" s="10" t="str">
        <x:v>Calculation</x:v>
      </x:c>
      <x:c r="B48" s="10" t="str">
        <x:v>New-hire setup</x:v>
      </x:c>
      <x:c r="C48" s="102" t="n">
        <x:f>-(C34*$B$21)</x:f>
        <x:v>0</x:v>
      </x:c>
      <x:c r="D48" s="10" t="str">
        <x:v>USD</x:v>
      </x:c>
      <x:c r="E48" s="21" t="str">
        <x:v>One-time hiring setup.</x:v>
      </x:c>
    </x:row>
    <x:row r="49" ht="22" customHeight="1">
      <x:c r="A49" s="10" t="str">
        <x:v>Calculation</x:v>
      </x:c>
      <x:c r="B49" s="10" t="str">
        <x:v>Outpost operation</x:v>
      </x:c>
      <x:c r="C49" s="102" t="n">
        <x:f>-(C38*$B$22)</x:f>
        <x:v>0</x:v>
      </x:c>
      <x:c r="D49" s="10" t="str">
        <x:v>USD</x:v>
      </x:c>
      <x:c r="E49" s="21" t="str">
        <x:v>Local site/service cost; staff and physical goods remain separate.</x:v>
      </x:c>
    </x:row>
    <x:row r="50" ht="22" customHeight="1">
      <x:c r="A50" s="10" t="str">
        <x:v>Calculation</x:v>
      </x:c>
      <x:c r="B50" s="10" t="str">
        <x:v>Additional facility rent</x:v>
      </x:c>
      <x:c r="C50" s="102" t="n">
        <x:f>-(C39*$B$23)</x:f>
        <x:v>0</x:v>
      </x:c>
      <x:c r="D50" s="10" t="str">
        <x:v>USD</x:v>
      </x:c>
      <x:c r="E50" s="21" t="str">
        <x:v>Only for leased company space.</x:v>
      </x:c>
    </x:row>
    <x:row r="51" ht="22" customHeight="1">
      <x:c r="A51" s="10" t="str">
        <x:v>Calculation</x:v>
      </x:c>
      <x:c r="B51" s="10" t="str">
        <x:v>Survey-kit orders</x:v>
      </x:c>
      <x:c r="C51" s="102" t="n">
        <x:f>-(C40*$B$24)</x:f>
        <x:v>-750000</x:v>
      </x:c>
      <x:c r="D51" s="10" t="str">
        <x:v>USD</x:v>
      </x:c>
      <x:c r="E51" s="21" t="str">
        <x:v>Paid once; physical shipment arrives later.</x:v>
      </x:c>
    </x:row>
    <x:row r="52" ht="22" customHeight="1">
      <x:c r="A52" s="10" t="str">
        <x:v>Calculation</x:v>
      </x:c>
      <x:c r="B52" s="10" t="str">
        <x:v>Research-material orders</x:v>
      </x:c>
      <x:c r="C52" s="102" t="n">
        <x:f>-(C41*$B$25)</x:f>
        <x:v>0</x:v>
      </x:c>
      <x:c r="D52" s="10" t="str">
        <x:v>USD</x:v>
      </x:c>
      <x:c r="E52" s="21" t="str">
        <x:v>Paid once; physical research supplies arrive later.</x:v>
      </x:c>
    </x:row>
    <x:row r="53" ht="22" customHeight="1">
      <x:c r="A53" s="10" t="str">
        <x:v>Calculation</x:v>
      </x:c>
      <x:c r="B53" s="10" t="str">
        <x:v>Other quoted support costs</x:v>
      </x:c>
      <x:c r="C53" s="102" t="n">
        <x:f>-C42</x:f>
        <x:v>0</x:v>
      </x:c>
      <x:c r="D53" s="10" t="str">
        <x:v>USD</x:v>
      </x:c>
      <x:c r="E53" s="21" t="str">
        <x:v>Explicit quote only; not automatic event taxation.</x:v>
      </x:c>
    </x:row>
    <x:row r="54" ht="22" customHeight="1">
      <x:c r="A54" s="41" t="str">
        <x:v>Output</x:v>
      </x:c>
      <x:c r="B54" s="41" t="str">
        <x:v>Closing account, planning</x:v>
      </x:c>
      <x:c r="C54" s="105" t="n">
        <x:f>C43+C44+SUM(C45:C53)-'Recovery &amp; Capital'!$I$8+'Extended Cases'!$D$8+'Extended Cases'!$G$8+'Extended Cases'!$P$8-MIN(MAX(0,'Extended Cases'!$O$8),MAX(0,C44))</x:f>
        <x:v>56250000</x:v>
      </x:c>
      <x:c r="D54" s="41" t="str">
        <x:v>USD</x:v>
      </x:c>
      <x:c r="E54" s="113" t="str">
        <x:v>Planning close after listed receipts and costs.</x:v>
      </x:c>
    </x:row>
    <x:row r="55" ht="22" customHeight="1">
      <x:c r="A55" s="10" t="str">
        <x:v>Calculation</x:v>
      </x:c>
      <x:c r="B55" s="10" t="str">
        <x:v>Opening account, downside</x:v>
      </x:c>
      <x:c r="C55" s="102" t="n">
        <x:f>$B$27</x:f>
        <x:v>48500000</x:v>
      </x:c>
      <x:c r="D55" s="10" t="str">
        <x:v>USD</x:v>
      </x:c>
      <x:c r="E55" s="21" t="str">
        <x:v>Carries the prior no-survey/fewer-receipt balance.</x:v>
      </x:c>
    </x:row>
    <x:row r="56" ht="22" customHeight="1">
      <x:c r="A56" s="10" t="str">
        <x:v>Calculation</x:v>
      </x:c>
      <x:c r="B56" s="10" t="str">
        <x:v>Contract receipts, downside</x:v>
      </x:c>
      <x:c r="C56" s="102" t="n">
        <x:f>C36*C37</x:f>
        <x:v>2500000</x:v>
      </x:c>
      <x:c r="D56" s="10" t="str">
        <x:v>USD</x:v>
      </x:c>
      <x:c r="E56" s="21" t="str">
        <x:v>Only completed, accepted, paid deliverables create receipts.</x:v>
      </x:c>
    </x:row>
    <x:row r="57" ht="22" customHeight="1">
      <x:c r="A57" s="41" t="str">
        <x:v>Output</x:v>
      </x:c>
      <x:c r="B57" s="41" t="str">
        <x:v>Closing account, downside</x:v>
      </x:c>
      <x:c r="C57" s="105" t="n">
        <x:f>C55+C56+SUM(C45:C53)-'Recovery &amp; Capital'!$I$8+'Extended Cases'!$D$8+'Extended Cases'!$G$8+'Extended Cases'!$P$8-MIN(MAX(0,'Extended Cases'!$O$8),MAX(0,C56))</x:f>
        <x:v>48750000</x:v>
      </x:c>
      <x:c r="D57" s="41" t="str">
        <x:v>USD</x:v>
      </x:c>
      <x:c r="E57" s="113" t="str">
        <x:v>Downside close after listed receipts and costs.</x:v>
      </x:c>
    </x:row>
    <x:row r="58" ht="22" customHeight="1">
      <x:c r="A58" s="12" t="str">
        <x:v>Output</x:v>
      </x:c>
      <x:c r="B58" s="12" t="str">
        <x:v>Downside funding gap</x:v>
      </x:c>
      <x:c r="C58" s="106" t="n">
        <x:f>MAX(0,-C57)</x:f>
        <x:v>0</x:v>
      </x:c>
      <x:c r="D58" s="12" t="str">
        <x:v>USD</x:v>
      </x:c>
      <x:c r="E58" s="114" t="str">
        <x:v>Shortfall in this plan; no borrowing rule is implied.</x:v>
      </x:c>
    </x:row>
    <x:row r="59" ht="22" customHeight="1">
      <x:c r="A59" s="10"/>
      <x:c r="B59" s="10"/>
      <x:c r="C59" s="10"/>
      <x:c r="D59" s="10"/>
      <x:c r="E59" s="21"/>
    </x:row>
    <x:row r="60" ht="22" customHeight="1">
      <x:c r="A60" s="90" t="str">
        <x:v>Stage 3: Specialist services</x:v>
      </x:c>
      <x:c r="B60" s="90"/>
      <x:c r="C60" s="90"/>
      <x:c r="D60" s="90"/>
      <x:c r="E60" s="109"/>
    </x:row>
    <x:row r="61" ht="22" customHeight="1">
      <x:c r="A61" s="94" t="str">
        <x:v>Type</x:v>
      </x:c>
      <x:c r="B61" s="94" t="str">
        <x:v>Driver</x:v>
      </x:c>
      <x:c r="C61" s="94" t="str">
        <x:v>Value</x:v>
      </x:c>
      <x:c r="D61" s="94" t="str">
        <x:v>Unit</x:v>
      </x:c>
      <x:c r="E61" s="110" t="str">
        <x:v>Basis / status</x:v>
      </x:c>
    </x:row>
    <x:row r="62" ht="22" customHeight="1">
      <x:c r="A62" s="10" t="str">
        <x:v>Input</x:v>
      </x:c>
      <x:c r="B62" s="10" t="str">
        <x:v>Period length</x:v>
      </x:c>
      <x:c r="C62" s="101" t="n">
        <x:v>30</x:v>
      </x:c>
      <x:c r="D62" s="10" t="str">
        <x:v>days</x:v>
      </x:c>
      <x:c r="E62" s="21" t="str">
        <x:v>Full 30-day period.</x:v>
      </x:c>
    </x:row>
    <x:row r="63" ht="22" customHeight="1">
      <x:c r="A63" s="10" t="str">
        <x:v>Input</x:v>
      </x:c>
      <x:c r="B63" s="10" t="str">
        <x:v>Active staff</x:v>
      </x:c>
      <x:c r="C63" s="101" t="n">
        <x:v>7</x:v>
      </x:c>
      <x:c r="D63" s="10" t="str">
        <x:v>pawns</x:v>
      </x:c>
      <x:c r="E63" s="21" t="str">
        <x:v>Seven assigned staff; premium pay remains open.</x:v>
      </x:c>
    </x:row>
    <x:row r="64" ht="22" customHeight="1">
      <x:c r="A64" s="10" t="str">
        <x:v>Input</x:v>
      </x:c>
      <x:c r="B64" s="10" t="str">
        <x:v>New hires</x:v>
      </x:c>
      <x:c r="C64" s="101" t="n">
        <x:v>2</x:v>
      </x:c>
      <x:c r="D64" s="10" t="str">
        <x:v>pawns</x:v>
      </x:c>
      <x:c r="E64" s="21" t="str">
        <x:v>Two new hires.</x:v>
      </x:c>
    </x:row>
    <x:row r="65" ht="22" customHeight="1">
      <x:c r="A65" s="10" t="str">
        <x:v>Input</x:v>
      </x:c>
      <x:c r="B65" s="10" t="str">
        <x:v>Contracts paid, planning case</x:v>
      </x:c>
      <x:c r="C65" s="101" t="n">
        <x:v>3</x:v>
      </x:c>
      <x:c r="D65" s="10" t="str">
        <x:v>contracts</x:v>
      </x:c>
      <x:c r="E65" s="21" t="str">
        <x:v>Three paid commissioned studies/services.</x:v>
      </x:c>
    </x:row>
    <x:row r="66" ht="22" customHeight="1">
      <x:c r="A66" s="10" t="str">
        <x:v>Input</x:v>
      </x:c>
      <x:c r="B66" s="10" t="str">
        <x:v>Contracts paid, downside case</x:v>
      </x:c>
      <x:c r="C66" s="101" t="n">
        <x:v>1</x:v>
      </x:c>
      <x:c r="D66" s="10" t="str">
        <x:v>contracts</x:v>
      </x:c>
      <x:c r="E66" s="21" t="str">
        <x:v>One fewer paid contract.</x:v>
      </x:c>
    </x:row>
    <x:row r="67" ht="22" customHeight="1">
      <x:c r="A67" s="10" t="str">
        <x:v>Input</x:v>
      </x:c>
      <x:c r="B67" s="10" t="str">
        <x:v>Average contract receipt</x:v>
      </x:c>
      <x:c r="C67" s="101" t="n">
        <x:v>10000000</x:v>
      </x:c>
      <x:c r="D67" s="10" t="str">
        <x:v>USD / contract</x:v>
      </x:c>
      <x:c r="E67" s="21" t="str">
        <x:v>Planning average only; no fixed event payout.</x:v>
      </x:c>
    </x:row>
    <x:row r="68" ht="22" customHeight="1">
      <x:c r="A68" s="10" t="str">
        <x:v>Input</x:v>
      </x:c>
      <x:c r="B68" s="10" t="str">
        <x:v>Active outpost days</x:v>
      </x:c>
      <x:c r="C68" s="101" t="n">
        <x:v>0</x:v>
      </x:c>
      <x:c r="D68" s="10" t="str">
        <x:v>days</x:v>
      </x:c>
      <x:c r="E68" s="21" t="str">
        <x:v>No outpost.</x:v>
      </x:c>
    </x:row>
    <x:row r="69" ht="22" customHeight="1">
      <x:c r="A69" s="10" t="str">
        <x:v>Input</x:v>
      </x:c>
      <x:c r="B69" s="10" t="str">
        <x:v>Additional facility lease days</x:v>
      </x:c>
      <x:c r="C69" s="101" t="n">
        <x:v>0</x:v>
      </x:c>
      <x:c r="D69" s="10" t="str">
        <x:v>days</x:v>
      </x:c>
      <x:c r="E69" s="21" t="str">
        <x:v>No additional company lease.</x:v>
      </x:c>
    </x:row>
    <x:row r="70" ht="22" customHeight="1">
      <x:c r="A70" s="10" t="str">
        <x:v>Input</x:v>
      </x:c>
      <x:c r="B70" s="10" t="str">
        <x:v>Survey-kit orders</x:v>
      </x:c>
      <x:c r="C70" s="101" t="n">
        <x:v>1</x:v>
      </x:c>
      <x:c r="D70" s="10" t="str">
        <x:v>orders</x:v>
      </x:c>
      <x:c r="E70" s="21" t="str">
        <x:v>One physical kit order.</x:v>
      </x:c>
    </x:row>
    <x:row r="71" ht="22" customHeight="1">
      <x:c r="A71" s="10" t="str">
        <x:v>Input</x:v>
      </x:c>
      <x:c r="B71" s="10" t="str">
        <x:v>Research-material orders</x:v>
      </x:c>
      <x:c r="C71" s="101" t="n">
        <x:v>1</x:v>
      </x:c>
      <x:c r="D71" s="10" t="str">
        <x:v>orders</x:v>
      </x:c>
      <x:c r="E71" s="21" t="str">
        <x:v>One physical research-supply order.</x:v>
      </x:c>
    </x:row>
    <x:row r="72" ht="22" customHeight="1">
      <x:c r="A72" s="10" t="str">
        <x:v>Input</x:v>
      </x:c>
      <x:c r="B72" s="10" t="str">
        <x:v>Other explicit quoted costs</x:v>
      </x:c>
      <x:c r="C72" s="101" t="n">
        <x:v>0</x:v>
      </x:c>
      <x:c r="D72" s="10" t="str">
        <x:v>USD / period</x:v>
      </x:c>
      <x:c r="E72" s="21" t="str">
        <x:v>No extra quoted support cost.</x:v>
      </x:c>
    </x:row>
    <x:row r="73" ht="22" customHeight="1">
      <x:c r="A73" s="10" t="str">
        <x:v>Calculation</x:v>
      </x:c>
      <x:c r="B73" s="10" t="str">
        <x:v>Opening account, planning</x:v>
      </x:c>
      <x:c r="C73" s="102" t="n">
        <x:f>C54</x:f>
        <x:v>56250000</x:v>
      </x:c>
      <x:c r="D73" s="10" t="str">
        <x:v>USD</x:v>
      </x:c>
      <x:c r="E73" s="21" t="str">
        <x:v>Carries the prior stage balance on this branch.</x:v>
      </x:c>
    </x:row>
    <x:row r="74" ht="22" customHeight="1">
      <x:c r="A74" s="10" t="str">
        <x:v>Calculation</x:v>
      </x:c>
      <x:c r="B74" s="10" t="str">
        <x:v>Contract receipts, planning</x:v>
      </x:c>
      <x:c r="C74" s="102" t="n">
        <x:f>C65*C67</x:f>
        <x:v>30000000</x:v>
      </x:c>
      <x:c r="D74" s="10" t="str">
        <x:v>USD</x:v>
      </x:c>
      <x:c r="E74" s="21" t="str">
        <x:v>Only completed, accepted, paid deliverables create receipts.</x:v>
      </x:c>
    </x:row>
    <x:row r="75" ht="22" customHeight="1">
      <x:c r="A75" s="10" t="str">
        <x:v>Calculation</x:v>
      </x:c>
      <x:c r="B75" s="10" t="str">
        <x:v>Payroll</x:v>
      </x:c>
      <x:c r="C75" s="102" t="n">
        <x:f>-(C63*$B$18*C62)</x:f>
        <x:v>-1050000</x:v>
      </x:c>
      <x:c r="D75" s="10" t="str">
        <x:v>USD</x:v>
      </x:c>
      <x:c r="E75" s="21" t="str">
        <x:v>Full-period staffing at linked base pay.</x:v>
      </x:c>
    </x:row>
    <x:row r="76" ht="22" customHeight="1">
      <x:c r="A76" s="10" t="str">
        <x:v>Calculation</x:v>
      </x:c>
      <x:c r="B76" s="10" t="str">
        <x:v>HQ overhead</x:v>
      </x:c>
      <x:c r="C76" s="102" t="n">
        <x:f>-(C62*$B$19)</x:f>
        <x:v>-750000</x:v>
      </x:c>
      <x:c r="D76" s="10" t="str">
        <x:v>USD</x:v>
      </x:c>
      <x:c r="E76" s="21" t="str">
        <x:v>Routine overhead; not a charge for power draw.</x:v>
      </x:c>
    </x:row>
    <x:row r="77" ht="22" customHeight="1">
      <x:c r="A77" s="10" t="str">
        <x:v>Calculation</x:v>
      </x:c>
      <x:c r="B77" s="10" t="str">
        <x:v>Automatic food debit</x:v>
      </x:c>
      <x:c r="C77" s="102" t="n">
        <x:f>-(C63*C62*$B$20)</x:f>
        <x:v>0</x:v>
      </x:c>
      <x:c r="D77" s="10" t="str">
        <x:v>USD</x:v>
      </x:c>
      <x:c r="E77" s="21" t="str">
        <x:v>Zero for ordinary meals; purchased food needs an explicit invoice.</x:v>
      </x:c>
    </x:row>
    <x:row r="78" ht="22" customHeight="1">
      <x:c r="A78" s="10" t="str">
        <x:v>Calculation</x:v>
      </x:c>
      <x:c r="B78" s="10" t="str">
        <x:v>New-hire setup</x:v>
      </x:c>
      <x:c r="C78" s="102" t="n">
        <x:f>-(C64*$B$21)</x:f>
        <x:v>-200000</x:v>
      </x:c>
      <x:c r="D78" s="10" t="str">
        <x:v>USD</x:v>
      </x:c>
      <x:c r="E78" s="21" t="str">
        <x:v>One-time hiring setup.</x:v>
      </x:c>
    </x:row>
    <x:row r="79" ht="22" customHeight="1">
      <x:c r="A79" s="10" t="str">
        <x:v>Calculation</x:v>
      </x:c>
      <x:c r="B79" s="10" t="str">
        <x:v>Outpost operation</x:v>
      </x:c>
      <x:c r="C79" s="102" t="n">
        <x:f>-(C68*$B$22)</x:f>
        <x:v>0</x:v>
      </x:c>
      <x:c r="D79" s="10" t="str">
        <x:v>USD</x:v>
      </x:c>
      <x:c r="E79" s="21" t="str">
        <x:v>Local site/service cost; staff and physical goods remain separate.</x:v>
      </x:c>
    </x:row>
    <x:row r="80" ht="22" customHeight="1">
      <x:c r="A80" s="10" t="str">
        <x:v>Calculation</x:v>
      </x:c>
      <x:c r="B80" s="10" t="str">
        <x:v>Additional facility rent</x:v>
      </x:c>
      <x:c r="C80" s="102" t="n">
        <x:f>-(C69*$B$23)</x:f>
        <x:v>0</x:v>
      </x:c>
      <x:c r="D80" s="10" t="str">
        <x:v>USD</x:v>
      </x:c>
      <x:c r="E80" s="21" t="str">
        <x:v>Only for leased company space.</x:v>
      </x:c>
    </x:row>
    <x:row r="81" ht="22" customHeight="1">
      <x:c r="A81" s="10" t="str">
        <x:v>Calculation</x:v>
      </x:c>
      <x:c r="B81" s="10" t="str">
        <x:v>Survey-kit orders</x:v>
      </x:c>
      <x:c r="C81" s="102" t="n">
        <x:f>-(C70*$B$24)</x:f>
        <x:v>-750000</x:v>
      </x:c>
      <x:c r="D81" s="10" t="str">
        <x:v>USD</x:v>
      </x:c>
      <x:c r="E81" s="21" t="str">
        <x:v>Paid once; physical shipment arrives later.</x:v>
      </x:c>
    </x:row>
    <x:row r="82" ht="22" customHeight="1">
      <x:c r="A82" s="10" t="str">
        <x:v>Calculation</x:v>
      </x:c>
      <x:c r="B82" s="10" t="str">
        <x:v>Research-material orders</x:v>
      </x:c>
      <x:c r="C82" s="102" t="n">
        <x:f>-(C71*$B$25)</x:f>
        <x:v>-2000000</x:v>
      </x:c>
      <x:c r="D82" s="10" t="str">
        <x:v>USD</x:v>
      </x:c>
      <x:c r="E82" s="21" t="str">
        <x:v>Paid once; physical research supplies arrive later.</x:v>
      </x:c>
    </x:row>
    <x:row r="83" ht="22" customHeight="1">
      <x:c r="A83" s="10" t="str">
        <x:v>Calculation</x:v>
      </x:c>
      <x:c r="B83" s="10" t="str">
        <x:v>Other quoted support costs</x:v>
      </x:c>
      <x:c r="C83" s="102" t="n">
        <x:f>-C72</x:f>
        <x:v>0</x:v>
      </x:c>
      <x:c r="D83" s="10" t="str">
        <x:v>USD</x:v>
      </x:c>
      <x:c r="E83" s="21" t="str">
        <x:v>Explicit quote only; not automatic event taxation.</x:v>
      </x:c>
    </x:row>
    <x:row r="84" ht="22" customHeight="1">
      <x:c r="A84" s="41" t="str">
        <x:v>Output</x:v>
      </x:c>
      <x:c r="B84" s="41" t="str">
        <x:v>Closing account, planning</x:v>
      </x:c>
      <x:c r="C84" s="105" t="n">
        <x:f>C73+C74+SUM(C75:C83)-'Recovery &amp; Capital'!$I$9+'Extended Cases'!$D$9+'Extended Cases'!$G$9+'Extended Cases'!$P$9-MIN(MAX(0,'Extended Cases'!$O$9),MAX(0,C74))</x:f>
        <x:v>81500000</x:v>
      </x:c>
      <x:c r="D84" s="41" t="str">
        <x:v>USD</x:v>
      </x:c>
      <x:c r="E84" s="113" t="str">
        <x:v>Planning close after listed receipts and costs.</x:v>
      </x:c>
    </x:row>
    <x:row r="85" ht="22" customHeight="1">
      <x:c r="A85" s="10" t="str">
        <x:v>Calculation</x:v>
      </x:c>
      <x:c r="B85" s="10" t="str">
        <x:v>Opening account, downside</x:v>
      </x:c>
      <x:c r="C85" s="102" t="n">
        <x:f>C57</x:f>
        <x:v>48750000</x:v>
      </x:c>
      <x:c r="D85" s="10" t="str">
        <x:v>USD</x:v>
      </x:c>
      <x:c r="E85" s="21" t="str">
        <x:v>Carries the prior no-survey/fewer-receipt balance.</x:v>
      </x:c>
    </x:row>
    <x:row r="86" ht="22" customHeight="1">
      <x:c r="A86" s="10" t="str">
        <x:v>Calculation</x:v>
      </x:c>
      <x:c r="B86" s="10" t="str">
        <x:v>Contract receipts, downside</x:v>
      </x:c>
      <x:c r="C86" s="102" t="n">
        <x:f>C66*C67</x:f>
        <x:v>10000000</x:v>
      </x:c>
      <x:c r="D86" s="10" t="str">
        <x:v>USD</x:v>
      </x:c>
      <x:c r="E86" s="21" t="str">
        <x:v>Only completed, accepted, paid deliverables create receipts.</x:v>
      </x:c>
    </x:row>
    <x:row r="87" ht="22" customHeight="1">
      <x:c r="A87" s="41" t="str">
        <x:v>Output</x:v>
      </x:c>
      <x:c r="B87" s="41" t="str">
        <x:v>Closing account, downside</x:v>
      </x:c>
      <x:c r="C87" s="105" t="n">
        <x:f>C85+C86+SUM(C75:C83)-'Recovery &amp; Capital'!$I$9+'Extended Cases'!$D$9+'Extended Cases'!$G$9+'Extended Cases'!$P$9-MIN(MAX(0,'Extended Cases'!$O$9),MAX(0,C86))</x:f>
        <x:v>54000000</x:v>
      </x:c>
      <x:c r="D87" s="41" t="str">
        <x:v>USD</x:v>
      </x:c>
      <x:c r="E87" s="113" t="str">
        <x:v>Downside close after listed receipts and costs.</x:v>
      </x:c>
    </x:row>
    <x:row r="88" ht="22" customHeight="1">
      <x:c r="A88" s="12" t="str">
        <x:v>Output</x:v>
      </x:c>
      <x:c r="B88" s="12" t="str">
        <x:v>Downside funding gap</x:v>
      </x:c>
      <x:c r="C88" s="106" t="n">
        <x:f>MAX(0,-C87)</x:f>
        <x:v>0</x:v>
      </x:c>
      <x:c r="D88" s="12" t="str">
        <x:v>USD</x:v>
      </x:c>
      <x:c r="E88" s="114" t="str">
        <x:v>Shortfall in this plan; no borrowing rule is implied.</x:v>
      </x:c>
    </x:row>
    <x:row r="89" ht="22" customHeight="1">
      <x:c r="A89" s="10"/>
      <x:c r="B89" s="10"/>
      <x:c r="C89" s="10"/>
      <x:c r="D89" s="10"/>
      <x:c r="E89" s="21"/>
    </x:row>
    <x:row r="90" ht="22" customHeight="1">
      <x:c r="A90" s="90" t="str">
        <x:v>Stage 4: Leases and remote sites</x:v>
      </x:c>
      <x:c r="B90" s="90"/>
      <x:c r="C90" s="90"/>
      <x:c r="D90" s="90"/>
      <x:c r="E90" s="109"/>
    </x:row>
    <x:row r="91" ht="22" customHeight="1">
      <x:c r="A91" s="94" t="str">
        <x:v>Type</x:v>
      </x:c>
      <x:c r="B91" s="94" t="str">
        <x:v>Driver</x:v>
      </x:c>
      <x:c r="C91" s="94" t="str">
        <x:v>Value</x:v>
      </x:c>
      <x:c r="D91" s="94" t="str">
        <x:v>Unit</x:v>
      </x:c>
      <x:c r="E91" s="110" t="str">
        <x:v>Basis / status</x:v>
      </x:c>
    </x:row>
    <x:row r="92" ht="22" customHeight="1">
      <x:c r="A92" s="10" t="str">
        <x:v>Input</x:v>
      </x:c>
      <x:c r="B92" s="10" t="str">
        <x:v>Period length</x:v>
      </x:c>
      <x:c r="C92" s="101" t="n">
        <x:v>30</x:v>
      </x:c>
      <x:c r="D92" s="10" t="str">
        <x:v>days</x:v>
      </x:c>
      <x:c r="E92" s="21" t="str">
        <x:v>Full 30-day period.</x:v>
      </x:c>
    </x:row>
    <x:row r="93" ht="22" customHeight="1">
      <x:c r="A93" s="10" t="str">
        <x:v>Input</x:v>
      </x:c>
      <x:c r="B93" s="10" t="str">
        <x:v>Active staff</x:v>
      </x:c>
      <x:c r="C93" s="101" t="n">
        <x:v>8</x:v>
      </x:c>
      <x:c r="D93" s="10" t="str">
        <x:v>pawns</x:v>
      </x:c>
      <x:c r="E93" s="21" t="str">
        <x:v>Eight active staff.</x:v>
      </x:c>
    </x:row>
    <x:row r="94" ht="22" customHeight="1">
      <x:c r="A94" s="10" t="str">
        <x:v>Input</x:v>
      </x:c>
      <x:c r="B94" s="10" t="str">
        <x:v>New hires</x:v>
      </x:c>
      <x:c r="C94" s="101" t="n">
        <x:v>1</x:v>
      </x:c>
      <x:c r="D94" s="10" t="str">
        <x:v>pawns</x:v>
      </x:c>
      <x:c r="E94" s="21" t="str">
        <x:v>One new hire.</x:v>
      </x:c>
    </x:row>
    <x:row r="95" ht="22" customHeight="1">
      <x:c r="A95" s="10" t="str">
        <x:v>Input</x:v>
      </x:c>
      <x:c r="B95" s="10" t="str">
        <x:v>Contracts paid, planning case</x:v>
      </x:c>
      <x:c r="C95" s="101" t="n">
        <x:v>4</x:v>
      </x:c>
      <x:c r="D95" s="10" t="str">
        <x:v>contracts</x:v>
      </x:c>
      <x:c r="E95" s="21" t="str">
        <x:v>Four paid site/service results.</x:v>
      </x:c>
    </x:row>
    <x:row r="96" ht="22" customHeight="1">
      <x:c r="A96" s="10" t="str">
        <x:v>Input</x:v>
      </x:c>
      <x:c r="B96" s="10" t="str">
        <x:v>Contracts paid, downside case</x:v>
      </x:c>
      <x:c r="C96" s="101" t="n">
        <x:v>2</x:v>
      </x:c>
      <x:c r="D96" s="10" t="str">
        <x:v>contracts</x:v>
      </x:c>
      <x:c r="E96" s="21" t="str">
        <x:v>Two fewer paid contracts.</x:v>
      </x:c>
    </x:row>
    <x:row r="97" ht="22" customHeight="1">
      <x:c r="A97" s="10" t="str">
        <x:v>Input</x:v>
      </x:c>
      <x:c r="B97" s="10" t="str">
        <x:v>Average contract receipt</x:v>
      </x:c>
      <x:c r="C97" s="101" t="n">
        <x:v>25000000</x:v>
      </x:c>
      <x:c r="D97" s="10" t="str">
        <x:v>USD / contract</x:v>
      </x:c>
      <x:c r="E97" s="21" t="str">
        <x:v>Planning average only; client lease receipts are included only if accepted.</x:v>
      </x:c>
    </x:row>
    <x:row r="98" ht="22" customHeight="1">
      <x:c r="A98" s="10" t="str">
        <x:v>Input</x:v>
      </x:c>
      <x:c r="B98" s="10" t="str">
        <x:v>Active outpost days</x:v>
      </x:c>
      <x:c r="C98" s="101" t="n">
        <x:v>30</x:v>
      </x:c>
      <x:c r="D98" s="10" t="str">
        <x:v>days</x:v>
      </x:c>
      <x:c r="E98" s="21" t="str">
        <x:v>One active outpost for the full period.</x:v>
      </x:c>
    </x:row>
    <x:row r="99" ht="22" customHeight="1">
      <x:c r="A99" s="10" t="str">
        <x:v>Input</x:v>
      </x:c>
      <x:c r="B99" s="10" t="str">
        <x:v>Additional facility lease days</x:v>
      </x:c>
      <x:c r="C99" s="101" t="n">
        <x:v>0</x:v>
      </x:c>
      <x:c r="D99" s="10" t="str">
        <x:v>days</x:v>
      </x:c>
      <x:c r="E99" s="21" t="str">
        <x:v>No additional HQ lease.</x:v>
      </x:c>
    </x:row>
    <x:row r="100" ht="22" customHeight="1">
      <x:c r="A100" s="10" t="str">
        <x:v>Input</x:v>
      </x:c>
      <x:c r="B100" s="10" t="str">
        <x:v>Survey-kit orders</x:v>
      </x:c>
      <x:c r="C100" s="101" t="n">
        <x:v>1</x:v>
      </x:c>
      <x:c r="D100" s="10" t="str">
        <x:v>orders</x:v>
      </x:c>
      <x:c r="E100" s="21" t="str">
        <x:v>One physical kit order.</x:v>
      </x:c>
    </x:row>
    <x:row r="101" ht="22" customHeight="1">
      <x:c r="A101" s="10" t="str">
        <x:v>Input</x:v>
      </x:c>
      <x:c r="B101" s="10" t="str">
        <x:v>Research-material orders</x:v>
      </x:c>
      <x:c r="C101" s="101" t="n">
        <x:v>1</x:v>
      </x:c>
      <x:c r="D101" s="10" t="str">
        <x:v>orders</x:v>
      </x:c>
      <x:c r="E101" s="21" t="str">
        <x:v>One physical research-supply order.</x:v>
      </x:c>
    </x:row>
    <x:row r="102" ht="22" customHeight="1">
      <x:c r="A102" s="10" t="str">
        <x:v>Input</x:v>
      </x:c>
      <x:c r="B102" s="10" t="str">
        <x:v>Other explicit quoted costs</x:v>
      </x:c>
      <x:c r="C102" s="101" t="n">
        <x:v>0</x:v>
      </x:c>
      <x:c r="D102" s="10" t="str">
        <x:v>USD / period</x:v>
      </x:c>
      <x:c r="E102" s="21" t="str">
        <x:v>No extra quoted support cost.</x:v>
      </x:c>
    </x:row>
    <x:row r="103" ht="22" customHeight="1">
      <x:c r="A103" s="10" t="str">
        <x:v>Calculation</x:v>
      </x:c>
      <x:c r="B103" s="10" t="str">
        <x:v>Opening account, planning</x:v>
      </x:c>
      <x:c r="C103" s="102" t="n">
        <x:f>C84</x:f>
        <x:v>81500000</x:v>
      </x:c>
      <x:c r="D103" s="10" t="str">
        <x:v>USD</x:v>
      </x:c>
      <x:c r="E103" s="21" t="str">
        <x:v>Carries the prior stage balance on this branch.</x:v>
      </x:c>
    </x:row>
    <x:row r="104" ht="22" customHeight="1">
      <x:c r="A104" s="10" t="str">
        <x:v>Calculation</x:v>
      </x:c>
      <x:c r="B104" s="10" t="str">
        <x:v>Contract receipts, planning</x:v>
      </x:c>
      <x:c r="C104" s="102" t="n">
        <x:f>C95*C97</x:f>
        <x:v>100000000</x:v>
      </x:c>
      <x:c r="D104" s="10" t="str">
        <x:v>USD</x:v>
      </x:c>
      <x:c r="E104" s="21" t="str">
        <x:v>Only completed, accepted, paid deliverables create receipts.</x:v>
      </x:c>
    </x:row>
    <x:row r="105" ht="22" customHeight="1">
      <x:c r="A105" s="10" t="str">
        <x:v>Calculation</x:v>
      </x:c>
      <x:c r="B105" s="10" t="str">
        <x:v>Payroll</x:v>
      </x:c>
      <x:c r="C105" s="102" t="n">
        <x:f>-(C93*$B$18*C92)</x:f>
        <x:v>-1200000</x:v>
      </x:c>
      <x:c r="D105" s="10" t="str">
        <x:v>USD</x:v>
      </x:c>
      <x:c r="E105" s="21" t="str">
        <x:v>Full-period staffing at linked base pay.</x:v>
      </x:c>
    </x:row>
    <x:row r="106" ht="22" customHeight="1">
      <x:c r="A106" s="10" t="str">
        <x:v>Calculation</x:v>
      </x:c>
      <x:c r="B106" s="10" t="str">
        <x:v>HQ overhead</x:v>
      </x:c>
      <x:c r="C106" s="102" t="n">
        <x:f>-(C92*$B$19)</x:f>
        <x:v>-750000</x:v>
      </x:c>
      <x:c r="D106" s="10" t="str">
        <x:v>USD</x:v>
      </x:c>
      <x:c r="E106" s="21" t="str">
        <x:v>Routine overhead; not a charge for power draw.</x:v>
      </x:c>
    </x:row>
    <x:row r="107" ht="22" customHeight="1">
      <x:c r="A107" s="10" t="str">
        <x:v>Calculation</x:v>
      </x:c>
      <x:c r="B107" s="10" t="str">
        <x:v>Automatic food debit</x:v>
      </x:c>
      <x:c r="C107" s="102" t="n">
        <x:f>-(C93*C92*$B$20)</x:f>
        <x:v>0</x:v>
      </x:c>
      <x:c r="D107" s="10" t="str">
        <x:v>USD</x:v>
      </x:c>
      <x:c r="E107" s="21" t="str">
        <x:v>Zero for ordinary meals; purchased food needs an explicit invoice.</x:v>
      </x:c>
    </x:row>
    <x:row r="108" ht="22" customHeight="1">
      <x:c r="A108" s="10" t="str">
        <x:v>Calculation</x:v>
      </x:c>
      <x:c r="B108" s="10" t="str">
        <x:v>New-hire setup</x:v>
      </x:c>
      <x:c r="C108" s="102" t="n">
        <x:f>-(C94*$B$21)</x:f>
        <x:v>-100000</x:v>
      </x:c>
      <x:c r="D108" s="10" t="str">
        <x:v>USD</x:v>
      </x:c>
      <x:c r="E108" s="21" t="str">
        <x:v>One-time hiring setup.</x:v>
      </x:c>
    </x:row>
    <x:row r="109" ht="22" customHeight="1">
      <x:c r="A109" s="10" t="str">
        <x:v>Calculation</x:v>
      </x:c>
      <x:c r="B109" s="10" t="str">
        <x:v>Outpost operation</x:v>
      </x:c>
      <x:c r="C109" s="102" t="n">
        <x:f>-(C98*$B$22)</x:f>
        <x:v>-7500000</x:v>
      </x:c>
      <x:c r="D109" s="10" t="str">
        <x:v>USD</x:v>
      </x:c>
      <x:c r="E109" s="21" t="str">
        <x:v>Local site/service cost; staff and physical goods remain separate.</x:v>
      </x:c>
    </x:row>
    <x:row r="110" ht="22" customHeight="1">
      <x:c r="A110" s="10" t="str">
        <x:v>Calculation</x:v>
      </x:c>
      <x:c r="B110" s="10" t="str">
        <x:v>Additional facility rent</x:v>
      </x:c>
      <x:c r="C110" s="102" t="n">
        <x:f>-(C99*$B$23)</x:f>
        <x:v>0</x:v>
      </x:c>
      <x:c r="D110" s="10" t="str">
        <x:v>USD</x:v>
      </x:c>
      <x:c r="E110" s="21" t="str">
        <x:v>Only for leased company space.</x:v>
      </x:c>
    </x:row>
    <x:row r="111" ht="22" customHeight="1">
      <x:c r="A111" s="10" t="str">
        <x:v>Calculation</x:v>
      </x:c>
      <x:c r="B111" s="10" t="str">
        <x:v>Survey-kit orders</x:v>
      </x:c>
      <x:c r="C111" s="102" t="n">
        <x:f>-(C100*$B$24)</x:f>
        <x:v>-750000</x:v>
      </x:c>
      <x:c r="D111" s="10" t="str">
        <x:v>USD</x:v>
      </x:c>
      <x:c r="E111" s="21" t="str">
        <x:v>Paid once; physical shipment arrives later.</x:v>
      </x:c>
    </x:row>
    <x:row r="112" ht="22" customHeight="1">
      <x:c r="A112" s="10" t="str">
        <x:v>Calculation</x:v>
      </x:c>
      <x:c r="B112" s="10" t="str">
        <x:v>Research-material orders</x:v>
      </x:c>
      <x:c r="C112" s="102" t="n">
        <x:f>-(C101*$B$25)</x:f>
        <x:v>-2000000</x:v>
      </x:c>
      <x:c r="D112" s="10" t="str">
        <x:v>USD</x:v>
      </x:c>
      <x:c r="E112" s="21" t="str">
        <x:v>Paid once; physical research supplies arrive later.</x:v>
      </x:c>
    </x:row>
    <x:row r="113" ht="22" customHeight="1">
      <x:c r="A113" s="10" t="str">
        <x:v>Calculation</x:v>
      </x:c>
      <x:c r="B113" s="10" t="str">
        <x:v>Other quoted support costs</x:v>
      </x:c>
      <x:c r="C113" s="102" t="n">
        <x:f>-C102</x:f>
        <x:v>0</x:v>
      </x:c>
      <x:c r="D113" s="10" t="str">
        <x:v>USD</x:v>
      </x:c>
      <x:c r="E113" s="21" t="str">
        <x:v>Explicit quote only; not automatic event taxation.</x:v>
      </x:c>
    </x:row>
    <x:row r="114" ht="22" customHeight="1">
      <x:c r="A114" s="41" t="str">
        <x:v>Output</x:v>
      </x:c>
      <x:c r="B114" s="41" t="str">
        <x:v>Closing account, planning</x:v>
      </x:c>
      <x:c r="C114" s="105" t="n">
        <x:f>C103+C104+SUM(C105:C113)-'Recovery &amp; Capital'!$I$10+'Extended Cases'!$D$10+'Extended Cases'!$G$10+'Extended Cases'!$P$10-MIN(MAX(0,'Extended Cases'!$O$10),MAX(0,C104))</x:f>
        <x:v>169200000</x:v>
      </x:c>
      <x:c r="D114" s="41" t="str">
        <x:v>USD</x:v>
      </x:c>
      <x:c r="E114" s="113" t="str">
        <x:v>Planning close after listed receipts and costs.</x:v>
      </x:c>
    </x:row>
    <x:row r="115" ht="22" customHeight="1">
      <x:c r="A115" s="10" t="str">
        <x:v>Calculation</x:v>
      </x:c>
      <x:c r="B115" s="10" t="str">
        <x:v>Opening account, downside</x:v>
      </x:c>
      <x:c r="C115" s="102" t="n">
        <x:f>C87</x:f>
        <x:v>54000000</x:v>
      </x:c>
      <x:c r="D115" s="10" t="str">
        <x:v>USD</x:v>
      </x:c>
      <x:c r="E115" s="21" t="str">
        <x:v>Carries the prior no-survey/fewer-receipt balance.</x:v>
      </x:c>
    </x:row>
    <x:row r="116" ht="22" customHeight="1">
      <x:c r="A116" s="10" t="str">
        <x:v>Calculation</x:v>
      </x:c>
      <x:c r="B116" s="10" t="str">
        <x:v>Contract receipts, downside</x:v>
      </x:c>
      <x:c r="C116" s="102" t="n">
        <x:f>C96*C97</x:f>
        <x:v>50000000</x:v>
      </x:c>
      <x:c r="D116" s="10" t="str">
        <x:v>USD</x:v>
      </x:c>
      <x:c r="E116" s="21" t="str">
        <x:v>Only completed, accepted, paid deliverables create receipts.</x:v>
      </x:c>
    </x:row>
    <x:row r="117" ht="22" customHeight="1">
      <x:c r="A117" s="41" t="str">
        <x:v>Output</x:v>
      </x:c>
      <x:c r="B117" s="41" t="str">
        <x:v>Closing account, downside</x:v>
      </x:c>
      <x:c r="C117" s="105" t="n">
        <x:f>C115+C116+SUM(C105:C113)-'Recovery &amp; Capital'!$I$10+'Extended Cases'!$D$10+'Extended Cases'!$G$10+'Extended Cases'!$P$10-MIN(MAX(0,'Extended Cases'!$O$10),MAX(0,C116))</x:f>
        <x:v>91700000</x:v>
      </x:c>
      <x:c r="D117" s="41" t="str">
        <x:v>USD</x:v>
      </x:c>
      <x:c r="E117" s="113" t="str">
        <x:v>Downside close after listed receipts and costs.</x:v>
      </x:c>
    </x:row>
    <x:row r="118" ht="22" customHeight="1">
      <x:c r="A118" s="12" t="str">
        <x:v>Output</x:v>
      </x:c>
      <x:c r="B118" s="12" t="str">
        <x:v>Downside funding gap</x:v>
      </x:c>
      <x:c r="C118" s="106" t="n">
        <x:f>MAX(0,-C117)</x:f>
        <x:v>0</x:v>
      </x:c>
      <x:c r="D118" s="12" t="str">
        <x:v>USD</x:v>
      </x:c>
      <x:c r="E118" s="114" t="str">
        <x:v>Shortfall in this plan; no borrowing rule is implied.</x:v>
      </x:c>
    </x:row>
    <x:row r="119" ht="22" customHeight="1">
      <x:c r="A119" s="10"/>
      <x:c r="B119" s="10"/>
      <x:c r="C119" s="10"/>
      <x:c r="D119" s="10"/>
      <x:c r="E119" s="21"/>
    </x:row>
    <x:row r="120" ht="22" customHeight="1">
      <x:c r="A120" s="90" t="str">
        <x:v>Stage 5: Large recovery and network work</x:v>
      </x:c>
      <x:c r="B120" s="90"/>
      <x:c r="C120" s="90"/>
      <x:c r="D120" s="90"/>
      <x:c r="E120" s="109"/>
    </x:row>
    <x:row r="121" ht="22" customHeight="1">
      <x:c r="A121" s="94" t="str">
        <x:v>Type</x:v>
      </x:c>
      <x:c r="B121" s="94" t="str">
        <x:v>Driver</x:v>
      </x:c>
      <x:c r="C121" s="94" t="str">
        <x:v>Value</x:v>
      </x:c>
      <x:c r="D121" s="94" t="str">
        <x:v>Unit</x:v>
      </x:c>
      <x:c r="E121" s="110" t="str">
        <x:v>Basis / status</x:v>
      </x:c>
    </x:row>
    <x:row r="122" ht="22" customHeight="1">
      <x:c r="A122" s="10" t="str">
        <x:v>Input</x:v>
      </x:c>
      <x:c r="B122" s="10" t="str">
        <x:v>Period length</x:v>
      </x:c>
      <x:c r="C122" s="101" t="n">
        <x:v>30</x:v>
      </x:c>
      <x:c r="D122" s="10" t="str">
        <x:v>days</x:v>
      </x:c>
      <x:c r="E122" s="21" t="str">
        <x:v>Full 30-day period.</x:v>
      </x:c>
    </x:row>
    <x:row r="123" ht="22" customHeight="1">
      <x:c r="A123" s="10" t="str">
        <x:v>Input</x:v>
      </x:c>
      <x:c r="B123" s="10" t="str">
        <x:v>Active staff</x:v>
      </x:c>
      <x:c r="C123" s="101" t="n">
        <x:v>10</x:v>
      </x:c>
      <x:c r="D123" s="10" t="str">
        <x:v>pawns</x:v>
      </x:c>
      <x:c r="E123" s="21" t="str">
        <x:v>Ten active staff.</x:v>
      </x:c>
    </x:row>
    <x:row r="124" ht="22" customHeight="1">
      <x:c r="A124" s="10" t="str">
        <x:v>Input</x:v>
      </x:c>
      <x:c r="B124" s="10" t="str">
        <x:v>New hires</x:v>
      </x:c>
      <x:c r="C124" s="101" t="n">
        <x:v>2</x:v>
      </x:c>
      <x:c r="D124" s="10" t="str">
        <x:v>pawns</x:v>
      </x:c>
      <x:c r="E124" s="21" t="str">
        <x:v>Two new hires.</x:v>
      </x:c>
    </x:row>
    <x:row r="125" ht="22" customHeight="1">
      <x:c r="A125" s="10" t="str">
        <x:v>Input</x:v>
      </x:c>
      <x:c r="B125" s="10" t="str">
        <x:v>Contracts paid, planning case</x:v>
      </x:c>
      <x:c r="C125" s="101" t="n">
        <x:v>5</x:v>
      </x:c>
      <x:c r="D125" s="10" t="str">
        <x:v>contracts</x:v>
      </x:c>
      <x:c r="E125" s="21" t="str">
        <x:v>Five paid network/recovery results.</x:v>
      </x:c>
    </x:row>
    <x:row r="126" ht="22" customHeight="1">
      <x:c r="A126" s="10" t="str">
        <x:v>Input</x:v>
      </x:c>
      <x:c r="B126" s="10" t="str">
        <x:v>Contracts paid, downside case</x:v>
      </x:c>
      <x:c r="C126" s="101" t="n">
        <x:v>2</x:v>
      </x:c>
      <x:c r="D126" s="10" t="str">
        <x:v>contracts</x:v>
      </x:c>
      <x:c r="E126" s="21" t="str">
        <x:v>Three fewer paid contracts.</x:v>
      </x:c>
    </x:row>
    <x:row r="127" ht="22" customHeight="1">
      <x:c r="A127" s="10" t="str">
        <x:v>Input</x:v>
      </x:c>
      <x:c r="B127" s="10" t="str">
        <x:v>Average contract receipt</x:v>
      </x:c>
      <x:c r="C127" s="101" t="n">
        <x:v>75000000</x:v>
      </x:c>
      <x:c r="D127" s="10" t="str">
        <x:v>USD / contract</x:v>
      </x:c>
      <x:c r="E127" s="21" t="str">
        <x:v>Planning average only; each saved offer has its own quote.</x:v>
      </x:c>
    </x:row>
    <x:row r="128" ht="22" customHeight="1">
      <x:c r="A128" s="10" t="str">
        <x:v>Input</x:v>
      </x:c>
      <x:c r="B128" s="10" t="str">
        <x:v>Active outpost days</x:v>
      </x:c>
      <x:c r="C128" s="101" t="n">
        <x:v>30</x:v>
      </x:c>
      <x:c r="D128" s="10" t="str">
        <x:v>days</x:v>
      </x:c>
      <x:c r="E128" s="21" t="str">
        <x:v>One active outpost for the full period.</x:v>
      </x:c>
    </x:row>
    <x:row r="129" ht="22" customHeight="1">
      <x:c r="A129" s="10" t="str">
        <x:v>Input</x:v>
      </x:c>
      <x:c r="B129" s="10" t="str">
        <x:v>Additional facility lease days</x:v>
      </x:c>
      <x:c r="C129" s="101" t="n">
        <x:v>0</x:v>
      </x:c>
      <x:c r="D129" s="10" t="str">
        <x:v>days</x:v>
      </x:c>
      <x:c r="E129" s="21" t="str">
        <x:v>No additional HQ lease.</x:v>
      </x:c>
    </x:row>
    <x:row r="130" ht="22" customHeight="1">
      <x:c r="A130" s="10" t="str">
        <x:v>Input</x:v>
      </x:c>
      <x:c r="B130" s="10" t="str">
        <x:v>Survey-kit orders</x:v>
      </x:c>
      <x:c r="C130" s="101" t="n">
        <x:v>2</x:v>
      </x:c>
      <x:c r="D130" s="10" t="str">
        <x:v>orders</x:v>
      </x:c>
      <x:c r="E130" s="21" t="str">
        <x:v>Two physical kit orders.</x:v>
      </x:c>
    </x:row>
    <x:row r="131" ht="22" customHeight="1">
      <x:c r="A131" s="10" t="str">
        <x:v>Input</x:v>
      </x:c>
      <x:c r="B131" s="10" t="str">
        <x:v>Research-material orders</x:v>
      </x:c>
      <x:c r="C131" s="101" t="n">
        <x:v>2</x:v>
      </x:c>
      <x:c r="D131" s="10" t="str">
        <x:v>orders</x:v>
      </x:c>
      <x:c r="E131" s="21" t="str">
        <x:v>Two physical research-supply orders.</x:v>
      </x:c>
    </x:row>
    <x:row r="132" ht="22" customHeight="1">
      <x:c r="A132" s="10" t="str">
        <x:v>Input</x:v>
      </x:c>
      <x:c r="B132" s="10" t="str">
        <x:v>Other explicit quoted costs</x:v>
      </x:c>
      <x:c r="C132" s="101" t="n">
        <x:v>10000000</x:v>
      </x:c>
      <x:c r="D132" s="10" t="str">
        <x:v>USD / period</x:v>
      </x:c>
      <x:c r="E132" s="21" t="str">
        <x:v>Explicit $10M contingency quote placeholder; not a flat fee.</x:v>
      </x:c>
    </x:row>
    <x:row r="133" ht="22" customHeight="1">
      <x:c r="A133" s="10" t="str">
        <x:v>Calculation</x:v>
      </x:c>
      <x:c r="B133" s="10" t="str">
        <x:v>Opening account, planning</x:v>
      </x:c>
      <x:c r="C133" s="102" t="n">
        <x:f>C114</x:f>
        <x:v>169200000</x:v>
      </x:c>
      <x:c r="D133" s="10" t="str">
        <x:v>USD</x:v>
      </x:c>
      <x:c r="E133" s="21" t="str">
        <x:v>Carries the prior stage balance on this branch.</x:v>
      </x:c>
    </x:row>
    <x:row r="134" ht="22" customHeight="1">
      <x:c r="A134" s="10" t="str">
        <x:v>Calculation</x:v>
      </x:c>
      <x:c r="B134" s="10" t="str">
        <x:v>Contract receipts, planning</x:v>
      </x:c>
      <x:c r="C134" s="102" t="n">
        <x:f>C125*C127</x:f>
        <x:v>375000000</x:v>
      </x:c>
      <x:c r="D134" s="10" t="str">
        <x:v>USD</x:v>
      </x:c>
      <x:c r="E134" s="21" t="str">
        <x:v>Only completed, accepted, paid deliverables create receipts.</x:v>
      </x:c>
    </x:row>
    <x:row r="135" ht="22" customHeight="1">
      <x:c r="A135" s="10" t="str">
        <x:v>Calculation</x:v>
      </x:c>
      <x:c r="B135" s="10" t="str">
        <x:v>Payroll</x:v>
      </x:c>
      <x:c r="C135" s="102" t="n">
        <x:f>-(C123*$B$18*C122)</x:f>
        <x:v>-1500000</x:v>
      </x:c>
      <x:c r="D135" s="10" t="str">
        <x:v>USD</x:v>
      </x:c>
      <x:c r="E135" s="21" t="str">
        <x:v>Full-period staffing at linked base pay.</x:v>
      </x:c>
    </x:row>
    <x:row r="136" ht="22" customHeight="1">
      <x:c r="A136" s="10" t="str">
        <x:v>Calculation</x:v>
      </x:c>
      <x:c r="B136" s="10" t="str">
        <x:v>HQ overhead</x:v>
      </x:c>
      <x:c r="C136" s="102" t="n">
        <x:f>-(C122*$B$19)</x:f>
        <x:v>-750000</x:v>
      </x:c>
      <x:c r="D136" s="10" t="str">
        <x:v>USD</x:v>
      </x:c>
      <x:c r="E136" s="21" t="str">
        <x:v>Routine overhead; not a charge for power draw.</x:v>
      </x:c>
    </x:row>
    <x:row r="137" ht="22" customHeight="1">
      <x:c r="A137" s="10" t="str">
        <x:v>Calculation</x:v>
      </x:c>
      <x:c r="B137" s="10" t="str">
        <x:v>Automatic food debit</x:v>
      </x:c>
      <x:c r="C137" s="102" t="n">
        <x:f>-(C123*C122*$B$20)</x:f>
        <x:v>0</x:v>
      </x:c>
      <x:c r="D137" s="10" t="str">
        <x:v>USD</x:v>
      </x:c>
      <x:c r="E137" s="21" t="str">
        <x:v>Zero for ordinary meals; purchased food needs an explicit invoice.</x:v>
      </x:c>
    </x:row>
    <x:row r="138" ht="22" customHeight="1">
      <x:c r="A138" s="10" t="str">
        <x:v>Calculation</x:v>
      </x:c>
      <x:c r="B138" s="10" t="str">
        <x:v>New-hire setup</x:v>
      </x:c>
      <x:c r="C138" s="102" t="n">
        <x:f>-(C124*$B$21)</x:f>
        <x:v>-200000</x:v>
      </x:c>
      <x:c r="D138" s="10" t="str">
        <x:v>USD</x:v>
      </x:c>
      <x:c r="E138" s="21" t="str">
        <x:v>One-time hiring setup.</x:v>
      </x:c>
    </x:row>
    <x:row r="139" ht="22" customHeight="1">
      <x:c r="A139" s="10" t="str">
        <x:v>Calculation</x:v>
      </x:c>
      <x:c r="B139" s="10" t="str">
        <x:v>Outpost operation</x:v>
      </x:c>
      <x:c r="C139" s="102" t="n">
        <x:f>-(C128*$B$22)</x:f>
        <x:v>-7500000</x:v>
      </x:c>
      <x:c r="D139" s="10" t="str">
        <x:v>USD</x:v>
      </x:c>
      <x:c r="E139" s="21" t="str">
        <x:v>Local site/service cost; staff and physical goods remain separate.</x:v>
      </x:c>
    </x:row>
    <x:row r="140" ht="22" customHeight="1">
      <x:c r="A140" s="10" t="str">
        <x:v>Calculation</x:v>
      </x:c>
      <x:c r="B140" s="10" t="str">
        <x:v>Additional facility rent</x:v>
      </x:c>
      <x:c r="C140" s="102" t="n">
        <x:f>-(C129*$B$23)</x:f>
        <x:v>0</x:v>
      </x:c>
      <x:c r="D140" s="10" t="str">
        <x:v>USD</x:v>
      </x:c>
      <x:c r="E140" s="21" t="str">
        <x:v>Only for leased company space.</x:v>
      </x:c>
    </x:row>
    <x:row r="141" ht="22" customHeight="1">
      <x:c r="A141" s="10" t="str">
        <x:v>Calculation</x:v>
      </x:c>
      <x:c r="B141" s="10" t="str">
        <x:v>Survey-kit orders</x:v>
      </x:c>
      <x:c r="C141" s="102" t="n">
        <x:f>-(C130*$B$24)</x:f>
        <x:v>-1500000</x:v>
      </x:c>
      <x:c r="D141" s="10" t="str">
        <x:v>USD</x:v>
      </x:c>
      <x:c r="E141" s="21" t="str">
        <x:v>Paid once; physical shipment arrives later.</x:v>
      </x:c>
    </x:row>
    <x:row r="142" ht="22" customHeight="1">
      <x:c r="A142" s="10" t="str">
        <x:v>Calculation</x:v>
      </x:c>
      <x:c r="B142" s="10" t="str">
        <x:v>Research-material orders</x:v>
      </x:c>
      <x:c r="C142" s="102" t="n">
        <x:f>-(C131*$B$25)</x:f>
        <x:v>-4000000</x:v>
      </x:c>
      <x:c r="D142" s="10" t="str">
        <x:v>USD</x:v>
      </x:c>
      <x:c r="E142" s="21" t="str">
        <x:v>Paid once; physical research supplies arrive later.</x:v>
      </x:c>
    </x:row>
    <x:row r="143" ht="22" customHeight="1">
      <x:c r="A143" s="10" t="str">
        <x:v>Calculation</x:v>
      </x:c>
      <x:c r="B143" s="10" t="str">
        <x:v>Other quoted support costs</x:v>
      </x:c>
      <x:c r="C143" s="102" t="n">
        <x:f>-C132</x:f>
        <x:v>-10000000</x:v>
      </x:c>
      <x:c r="D143" s="10" t="str">
        <x:v>USD</x:v>
      </x:c>
      <x:c r="E143" s="21" t="str">
        <x:v>Explicit quote only; not automatic event taxation.</x:v>
      </x:c>
    </x:row>
    <x:row r="144" ht="22" customHeight="1">
      <x:c r="A144" s="41" t="str">
        <x:v>Output</x:v>
      </x:c>
      <x:c r="B144" s="41" t="str">
        <x:v>Closing account, planning</x:v>
      </x:c>
      <x:c r="C144" s="105" t="n">
        <x:f>C133+C134+SUM(C135:C143)-'Recovery &amp; Capital'!$I$11+'Extended Cases'!$D$11+'Extended Cases'!$G$11+'Extended Cases'!$P$11-MIN(MAX(0,'Extended Cases'!$O$11),MAX(0,C134))</x:f>
        <x:v>518750000</x:v>
      </x:c>
      <x:c r="D144" s="41" t="str">
        <x:v>USD</x:v>
      </x:c>
      <x:c r="E144" s="113" t="str">
        <x:v>Planning close after listed receipts and costs.</x:v>
      </x:c>
    </x:row>
    <x:row r="145" ht="22" customHeight="1">
      <x:c r="A145" s="10" t="str">
        <x:v>Calculation</x:v>
      </x:c>
      <x:c r="B145" s="10" t="str">
        <x:v>Opening account, downside</x:v>
      </x:c>
      <x:c r="C145" s="102" t="n">
        <x:f>C117</x:f>
        <x:v>91700000</x:v>
      </x:c>
      <x:c r="D145" s="10" t="str">
        <x:v>USD</x:v>
      </x:c>
      <x:c r="E145" s="21" t="str">
        <x:v>Carries the prior no-survey/fewer-receipt balance.</x:v>
      </x:c>
    </x:row>
    <x:row r="146" ht="22" customHeight="1">
      <x:c r="A146" s="10" t="str">
        <x:v>Calculation</x:v>
      </x:c>
      <x:c r="B146" s="10" t="str">
        <x:v>Contract receipts, downside</x:v>
      </x:c>
      <x:c r="C146" s="102" t="n">
        <x:f>C126*C127</x:f>
        <x:v>150000000</x:v>
      </x:c>
      <x:c r="D146" s="10" t="str">
        <x:v>USD</x:v>
      </x:c>
      <x:c r="E146" s="21" t="str">
        <x:v>Only completed, accepted, paid deliverables create receipts.</x:v>
      </x:c>
    </x:row>
    <x:row r="147" ht="22" customHeight="1">
      <x:c r="A147" s="41" t="str">
        <x:v>Output</x:v>
      </x:c>
      <x:c r="B147" s="41" t="str">
        <x:v>Closing account, downside</x:v>
      </x:c>
      <x:c r="C147" s="105" t="n">
        <x:f>C145+C146+SUM(C135:C143)-'Recovery &amp; Capital'!$I$11+'Extended Cases'!$D$11+'Extended Cases'!$G$11+'Extended Cases'!$P$11-MIN(MAX(0,'Extended Cases'!$O$11),MAX(0,C146))</x:f>
        <x:v>216250000</x:v>
      </x:c>
      <x:c r="D147" s="41" t="str">
        <x:v>USD</x:v>
      </x:c>
      <x:c r="E147" s="113" t="str">
        <x:v>Downside close after listed receipts and costs.</x:v>
      </x:c>
    </x:row>
    <x:row r="148" ht="22" customHeight="1">
      <x:c r="A148" s="12" t="str">
        <x:v>Output</x:v>
      </x:c>
      <x:c r="B148" s="12" t="str">
        <x:v>Downside funding gap</x:v>
      </x:c>
      <x:c r="C148" s="106" t="n">
        <x:f>MAX(0,-C147)</x:f>
        <x:v>0</x:v>
      </x:c>
      <x:c r="D148" s="12" t="str">
        <x:v>USD</x:v>
      </x:c>
      <x:c r="E148" s="114" t="str">
        <x:v>Shortfall in this plan; no borrowing rule is implied.</x:v>
      </x:c>
    </x:row>
    <x:row r="149" ht="22" customHeight="1">
      <x:c r="A149" s="10"/>
      <x:c r="B149" s="10"/>
      <x:c r="C149" s="10"/>
      <x:c r="D149" s="10"/>
      <x:c r="E149" s="21"/>
    </x:row>
    <x:row r="150" ht="22" customHeight="1">
      <x:c r="A150" s="90" t="str">
        <x:v>Stage 6: Vehicle and optional orbital support</x:v>
      </x:c>
      <x:c r="B150" s="90"/>
      <x:c r="C150" s="90"/>
      <x:c r="D150" s="90"/>
      <x:c r="E150" s="109"/>
    </x:row>
    <x:row r="151" ht="22" customHeight="1">
      <x:c r="A151" s="94" t="str">
        <x:v>Type</x:v>
      </x:c>
      <x:c r="B151" s="94" t="str">
        <x:v>Driver</x:v>
      </x:c>
      <x:c r="C151" s="94" t="str">
        <x:v>Value</x:v>
      </x:c>
      <x:c r="D151" s="94" t="str">
        <x:v>Unit</x:v>
      </x:c>
      <x:c r="E151" s="110" t="str">
        <x:v>Basis / status</x:v>
      </x:c>
    </x:row>
    <x:row r="152" ht="22" customHeight="1">
      <x:c r="A152" s="10" t="str">
        <x:v>Input</x:v>
      </x:c>
      <x:c r="B152" s="10" t="str">
        <x:v>Period length</x:v>
      </x:c>
      <x:c r="C152" s="101" t="n">
        <x:v>30</x:v>
      </x:c>
      <x:c r="D152" s="10" t="str">
        <x:v>days</x:v>
      </x:c>
      <x:c r="E152" s="21" t="str">
        <x:v>Full 30-day period.</x:v>
      </x:c>
    </x:row>
    <x:row r="153" ht="22" customHeight="1">
      <x:c r="A153" s="10" t="str">
        <x:v>Input</x:v>
      </x:c>
      <x:c r="B153" s="10" t="str">
        <x:v>Active staff</x:v>
      </x:c>
      <x:c r="C153" s="101" t="n">
        <x:v>10</x:v>
      </x:c>
      <x:c r="D153" s="10" t="str">
        <x:v>pawns</x:v>
      </x:c>
      <x:c r="E153" s="21" t="str">
        <x:v>Ten active staff.</x:v>
      </x:c>
    </x:row>
    <x:row r="154" ht="22" customHeight="1">
      <x:c r="A154" s="10" t="str">
        <x:v>Input</x:v>
      </x:c>
      <x:c r="B154" s="10" t="str">
        <x:v>New hires</x:v>
      </x:c>
      <x:c r="C154" s="101" t="n">
        <x:v>0</x:v>
      </x:c>
      <x:c r="D154" s="10" t="str">
        <x:v>pawns</x:v>
      </x:c>
      <x:c r="E154" s="21" t="str">
        <x:v>No additional hires.</x:v>
      </x:c>
    </x:row>
    <x:row r="155" ht="22" customHeight="1">
      <x:c r="A155" s="10" t="str">
        <x:v>Input</x:v>
      </x:c>
      <x:c r="B155" s="10" t="str">
        <x:v>Contracts paid, planning case</x:v>
      </x:c>
      <x:c r="C155" s="101" t="n">
        <x:v>5</x:v>
      </x:c>
      <x:c r="D155" s="10" t="str">
        <x:v>contracts</x:v>
      </x:c>
      <x:c r="E155" s="21" t="str">
        <x:v>Five paid transport/recon results.</x:v>
      </x:c>
    </x:row>
    <x:row r="156" ht="22" customHeight="1">
      <x:c r="A156" s="10" t="str">
        <x:v>Input</x:v>
      </x:c>
      <x:c r="B156" s="10" t="str">
        <x:v>Contracts paid, downside case</x:v>
      </x:c>
      <x:c r="C156" s="101" t="n">
        <x:v>2</x:v>
      </x:c>
      <x:c r="D156" s="10" t="str">
        <x:v>contracts</x:v>
      </x:c>
      <x:c r="E156" s="21" t="str">
        <x:v>Three fewer paid contracts.</x:v>
      </x:c>
    </x:row>
    <x:row r="157" ht="22" customHeight="1">
      <x:c r="A157" s="10" t="str">
        <x:v>Input</x:v>
      </x:c>
      <x:c r="B157" s="10" t="str">
        <x:v>Average contract receipt</x:v>
      </x:c>
      <x:c r="C157" s="101" t="n">
        <x:v>150000000</x:v>
      </x:c>
      <x:c r="D157" s="10" t="str">
        <x:v>USD / contract</x:v>
      </x:c>
      <x:c r="E157" s="21" t="str">
        <x:v>Planning average only; optional vehicle systems remain separate.</x:v>
      </x:c>
    </x:row>
    <x:row r="158" ht="22" customHeight="1">
      <x:c r="A158" s="10" t="str">
        <x:v>Input</x:v>
      </x:c>
      <x:c r="B158" s="10" t="str">
        <x:v>Active outpost days</x:v>
      </x:c>
      <x:c r="C158" s="101" t="n">
        <x:v>30</x:v>
      </x:c>
      <x:c r="D158" s="10" t="str">
        <x:v>days</x:v>
      </x:c>
      <x:c r="E158" s="21" t="str">
        <x:v>One active outpost for the full period.</x:v>
      </x:c>
    </x:row>
    <x:row r="159" ht="22" customHeight="1">
      <x:c r="A159" s="10" t="str">
        <x:v>Input</x:v>
      </x:c>
      <x:c r="B159" s="10" t="str">
        <x:v>Additional facility lease days</x:v>
      </x:c>
      <x:c r="C159" s="101" t="n">
        <x:v>0</x:v>
      </x:c>
      <x:c r="D159" s="10" t="str">
        <x:v>days</x:v>
      </x:c>
      <x:c r="E159" s="21" t="str">
        <x:v>No additional HQ lease.</x:v>
      </x:c>
    </x:row>
    <x:row r="160" ht="22" customHeight="1">
      <x:c r="A160" s="10" t="str">
        <x:v>Input</x:v>
      </x:c>
      <x:c r="B160" s="10" t="str">
        <x:v>Survey-kit orders</x:v>
      </x:c>
      <x:c r="C160" s="101" t="n">
        <x:v>2</x:v>
      </x:c>
      <x:c r="D160" s="10" t="str">
        <x:v>orders</x:v>
      </x:c>
      <x:c r="E160" s="21" t="str">
        <x:v>Two physical kit orders.</x:v>
      </x:c>
    </x:row>
    <x:row r="161" ht="22" customHeight="1">
      <x:c r="A161" s="10" t="str">
        <x:v>Input</x:v>
      </x:c>
      <x:c r="B161" s="10" t="str">
        <x:v>Research-material orders</x:v>
      </x:c>
      <x:c r="C161" s="101" t="n">
        <x:v>2</x:v>
      </x:c>
      <x:c r="D161" s="10" t="str">
        <x:v>orders</x:v>
      </x:c>
      <x:c r="E161" s="21" t="str">
        <x:v>Two physical research-supply orders.</x:v>
      </x:c>
    </x:row>
    <x:row r="162" ht="22" customHeight="1">
      <x:c r="A162" s="10" t="str">
        <x:v>Input</x:v>
      </x:c>
      <x:c r="B162" s="10" t="str">
        <x:v>Other explicit quoted costs</x:v>
      </x:c>
      <x:c r="C162" s="101" t="n">
        <x:v>50000000</x:v>
      </x:c>
      <x:c r="D162" s="10" t="str">
        <x:v>USD / period</x:v>
      </x:c>
      <x:c r="E162" s="21" t="str">
        <x:v>Explicit transport quote placeholder; not an automatic fee.</x:v>
      </x:c>
    </x:row>
    <x:row r="163" ht="22" customHeight="1">
      <x:c r="A163" s="10" t="str">
        <x:v>Calculation</x:v>
      </x:c>
      <x:c r="B163" s="10" t="str">
        <x:v>Opening account, planning</x:v>
      </x:c>
      <x:c r="C163" s="102" t="n">
        <x:f>C144</x:f>
        <x:v>518750000</x:v>
      </x:c>
      <x:c r="D163" s="10" t="str">
        <x:v>USD</x:v>
      </x:c>
      <x:c r="E163" s="21" t="str">
        <x:v>Carries the prior stage balance on this branch.</x:v>
      </x:c>
    </x:row>
    <x:row r="164" ht="22" customHeight="1">
      <x:c r="A164" s="10" t="str">
        <x:v>Calculation</x:v>
      </x:c>
      <x:c r="B164" s="10" t="str">
        <x:v>Contract receipts, planning</x:v>
      </x:c>
      <x:c r="C164" s="102" t="n">
        <x:f>C155*C157</x:f>
        <x:v>750000000</x:v>
      </x:c>
      <x:c r="D164" s="10" t="str">
        <x:v>USD</x:v>
      </x:c>
      <x:c r="E164" s="21" t="str">
        <x:v>Only completed, accepted, paid deliverables create receipts.</x:v>
      </x:c>
    </x:row>
    <x:row r="165" ht="22" customHeight="1">
      <x:c r="A165" s="10" t="str">
        <x:v>Calculation</x:v>
      </x:c>
      <x:c r="B165" s="10" t="str">
        <x:v>Payroll</x:v>
      </x:c>
      <x:c r="C165" s="102" t="n">
        <x:f>-(C153*$B$18*C152)</x:f>
        <x:v>-1500000</x:v>
      </x:c>
      <x:c r="D165" s="10" t="str">
        <x:v>USD</x:v>
      </x:c>
      <x:c r="E165" s="21" t="str">
        <x:v>Full-period staffing at linked base pay.</x:v>
      </x:c>
    </x:row>
    <x:row r="166" ht="22" customHeight="1">
      <x:c r="A166" s="10" t="str">
        <x:v>Calculation</x:v>
      </x:c>
      <x:c r="B166" s="10" t="str">
        <x:v>HQ overhead</x:v>
      </x:c>
      <x:c r="C166" s="102" t="n">
        <x:f>-(C152*$B$19)</x:f>
        <x:v>-750000</x:v>
      </x:c>
      <x:c r="D166" s="10" t="str">
        <x:v>USD</x:v>
      </x:c>
      <x:c r="E166" s="21" t="str">
        <x:v>Routine overhead; not a charge for power draw.</x:v>
      </x:c>
    </x:row>
    <x:row r="167" ht="22" customHeight="1">
      <x:c r="A167" s="10" t="str">
        <x:v>Calculation</x:v>
      </x:c>
      <x:c r="B167" s="10" t="str">
        <x:v>Automatic food debit</x:v>
      </x:c>
      <x:c r="C167" s="102" t="n">
        <x:f>-(C153*C152*$B$20)</x:f>
        <x:v>0</x:v>
      </x:c>
      <x:c r="D167" s="10" t="str">
        <x:v>USD</x:v>
      </x:c>
      <x:c r="E167" s="21" t="str">
        <x:v>Zero for ordinary meals; purchased food needs an explicit invoice.</x:v>
      </x:c>
    </x:row>
    <x:row r="168" ht="22" customHeight="1">
      <x:c r="A168" s="10" t="str">
        <x:v>Calculation</x:v>
      </x:c>
      <x:c r="B168" s="10" t="str">
        <x:v>New-hire setup</x:v>
      </x:c>
      <x:c r="C168" s="102" t="n">
        <x:f>-(C154*$B$21)</x:f>
        <x:v>0</x:v>
      </x:c>
      <x:c r="D168" s="10" t="str">
        <x:v>USD</x:v>
      </x:c>
      <x:c r="E168" s="21" t="str">
        <x:v>One-time hiring setup.</x:v>
      </x:c>
    </x:row>
    <x:row r="169" ht="22" customHeight="1">
      <x:c r="A169" s="10" t="str">
        <x:v>Calculation</x:v>
      </x:c>
      <x:c r="B169" s="10" t="str">
        <x:v>Outpost operation</x:v>
      </x:c>
      <x:c r="C169" s="102" t="n">
        <x:f>-(C158*$B$22)</x:f>
        <x:v>-7500000</x:v>
      </x:c>
      <x:c r="D169" s="10" t="str">
        <x:v>USD</x:v>
      </x:c>
      <x:c r="E169" s="21" t="str">
        <x:v>Local site/service cost; staff and physical goods remain separate.</x:v>
      </x:c>
    </x:row>
    <x:row r="170" ht="22" customHeight="1">
      <x:c r="A170" s="10" t="str">
        <x:v>Calculation</x:v>
      </x:c>
      <x:c r="B170" s="10" t="str">
        <x:v>Additional facility rent</x:v>
      </x:c>
      <x:c r="C170" s="102" t="n">
        <x:f>-(C159*$B$23)</x:f>
        <x:v>0</x:v>
      </x:c>
      <x:c r="D170" s="10" t="str">
        <x:v>USD</x:v>
      </x:c>
      <x:c r="E170" s="21" t="str">
        <x:v>Only for leased company space.</x:v>
      </x:c>
    </x:row>
    <x:row r="171" ht="22" customHeight="1">
      <x:c r="A171" s="10" t="str">
        <x:v>Calculation</x:v>
      </x:c>
      <x:c r="B171" s="10" t="str">
        <x:v>Survey-kit orders</x:v>
      </x:c>
      <x:c r="C171" s="102" t="n">
        <x:f>-(C160*$B$24)</x:f>
        <x:v>-1500000</x:v>
      </x:c>
      <x:c r="D171" s="10" t="str">
        <x:v>USD</x:v>
      </x:c>
      <x:c r="E171" s="21" t="str">
        <x:v>Paid once; physical shipment arrives later.</x:v>
      </x:c>
    </x:row>
    <x:row r="172" ht="22" customHeight="1">
      <x:c r="A172" s="10" t="str">
        <x:v>Calculation</x:v>
      </x:c>
      <x:c r="B172" s="10" t="str">
        <x:v>Research-material orders</x:v>
      </x:c>
      <x:c r="C172" s="102" t="n">
        <x:f>-(C161*$B$25)</x:f>
        <x:v>-4000000</x:v>
      </x:c>
      <x:c r="D172" s="10" t="str">
        <x:v>USD</x:v>
      </x:c>
      <x:c r="E172" s="21" t="str">
        <x:v>Paid once; physical research supplies arrive later.</x:v>
      </x:c>
    </x:row>
    <x:row r="173" ht="22" customHeight="1">
      <x:c r="A173" s="10" t="str">
        <x:v>Calculation</x:v>
      </x:c>
      <x:c r="B173" s="10" t="str">
        <x:v>Other quoted support costs</x:v>
      </x:c>
      <x:c r="C173" s="102" t="n">
        <x:f>-C162</x:f>
        <x:v>-50000000</x:v>
      </x:c>
      <x:c r="D173" s="10" t="str">
        <x:v>USD</x:v>
      </x:c>
      <x:c r="E173" s="21" t="str">
        <x:v>Explicit quote only; not automatic event taxation.</x:v>
      </x:c>
    </x:row>
    <x:row r="174" ht="22" customHeight="1">
      <x:c r="A174" s="41" t="str">
        <x:v>Output</x:v>
      </x:c>
      <x:c r="B174" s="41" t="str">
        <x:v>Closing account, planning</x:v>
      </x:c>
      <x:c r="C174" s="105" t="n">
        <x:f>C163+C164+SUM(C165:C173)-'Recovery &amp; Capital'!$I$12+'Extended Cases'!$D$12+'Extended Cases'!$G$12+'Extended Cases'!$P$12-MIN(MAX(0,'Extended Cases'!$O$12),MAX(0,C164))</x:f>
        <x:v>1203500000</x:v>
      </x:c>
      <x:c r="D174" s="41" t="str">
        <x:v>USD</x:v>
      </x:c>
      <x:c r="E174" s="113" t="str">
        <x:v>Planning close after listed receipts and costs.</x:v>
      </x:c>
    </x:row>
    <x:row r="175" ht="22" customHeight="1">
      <x:c r="A175" s="10" t="str">
        <x:v>Calculation</x:v>
      </x:c>
      <x:c r="B175" s="10" t="str">
        <x:v>Opening account, downside</x:v>
      </x:c>
      <x:c r="C175" s="102" t="n">
        <x:f>C147</x:f>
        <x:v>216250000</x:v>
      </x:c>
      <x:c r="D175" s="10" t="str">
        <x:v>USD</x:v>
      </x:c>
      <x:c r="E175" s="21" t="str">
        <x:v>Carries the prior no-survey/fewer-receipt balance.</x:v>
      </x:c>
    </x:row>
    <x:row r="176" ht="22" customHeight="1">
      <x:c r="A176" s="10" t="str">
        <x:v>Calculation</x:v>
      </x:c>
      <x:c r="B176" s="10" t="str">
        <x:v>Contract receipts, downside</x:v>
      </x:c>
      <x:c r="C176" s="102" t="n">
        <x:f>C156*C157</x:f>
        <x:v>300000000</x:v>
      </x:c>
      <x:c r="D176" s="10" t="str">
        <x:v>USD</x:v>
      </x:c>
      <x:c r="E176" s="21" t="str">
        <x:v>Only completed, accepted, paid deliverables create receipts.</x:v>
      </x:c>
    </x:row>
    <x:row r="177" ht="22" customHeight="1">
      <x:c r="A177" s="41" t="str">
        <x:v>Output</x:v>
      </x:c>
      <x:c r="B177" s="41" t="str">
        <x:v>Closing account, downside</x:v>
      </x:c>
      <x:c r="C177" s="105" t="n">
        <x:f>C175+C176+SUM(C165:C173)-'Recovery &amp; Capital'!$I$12+'Extended Cases'!$D$12+'Extended Cases'!$G$12+'Extended Cases'!$P$12-MIN(MAX(0,'Extended Cases'!$O$12),MAX(0,C176))</x:f>
        <x:v>451000000</x:v>
      </x:c>
      <x:c r="D177" s="41" t="str">
        <x:v>USD</x:v>
      </x:c>
      <x:c r="E177" s="113" t="str">
        <x:v>Downside close after listed receipts and costs.</x:v>
      </x:c>
    </x:row>
    <x:row r="178" ht="22" customHeight="1">
      <x:c r="A178" s="12" t="str">
        <x:v>Output</x:v>
      </x:c>
      <x:c r="B178" s="12" t="str">
        <x:v>Downside funding gap</x:v>
      </x:c>
      <x:c r="C178" s="106" t="n">
        <x:f>MAX(0,-C177)</x:f>
        <x:v>0</x:v>
      </x:c>
      <x:c r="D178" s="12" t="str">
        <x:v>USD</x:v>
      </x:c>
      <x:c r="E178" s="114" t="str">
        <x:v>Shortfall in this plan; no borrowing rule is implied.</x:v>
      </x:c>
    </x:row>
    <x:row r="179" ht="22" customHeight="1">
      <x:c r="A179" s="10"/>
      <x:c r="B179" s="10"/>
      <x:c r="C179" s="10"/>
      <x:c r="D179" s="10"/>
      <x:c r="E179" s="21"/>
    </x:row>
    <x:row r="180" ht="22" customHeight="1">
      <x:c r="A180" s="90" t="str">
        <x:v>Stage 7: Deep-site operations</x:v>
      </x:c>
      <x:c r="B180" s="90"/>
      <x:c r="C180" s="90"/>
      <x:c r="D180" s="90"/>
      <x:c r="E180" s="109"/>
    </x:row>
    <x:row r="181" ht="22" customHeight="1">
      <x:c r="A181" s="94" t="str">
        <x:v>Type</x:v>
      </x:c>
      <x:c r="B181" s="94" t="str">
        <x:v>Driver</x:v>
      </x:c>
      <x:c r="C181" s="94" t="str">
        <x:v>Value</x:v>
      </x:c>
      <x:c r="D181" s="94" t="str">
        <x:v>Unit</x:v>
      </x:c>
      <x:c r="E181" s="110" t="str">
        <x:v>Basis / status</x:v>
      </x:c>
    </x:row>
    <x:row r="182" ht="22" customHeight="1">
      <x:c r="A182" s="10" t="str">
        <x:v>Input</x:v>
      </x:c>
      <x:c r="B182" s="10" t="str">
        <x:v>Period length</x:v>
      </x:c>
      <x:c r="C182" s="101" t="n">
        <x:v>30</x:v>
      </x:c>
      <x:c r="D182" s="10" t="str">
        <x:v>days</x:v>
      </x:c>
      <x:c r="E182" s="21" t="str">
        <x:v>Full 30-day period.</x:v>
      </x:c>
    </x:row>
    <x:row r="183" ht="22" customHeight="1">
      <x:c r="A183" s="10" t="str">
        <x:v>Input</x:v>
      </x:c>
      <x:c r="B183" s="10" t="str">
        <x:v>Active staff</x:v>
      </x:c>
      <x:c r="C183" s="101" t="n">
        <x:v>12</x:v>
      </x:c>
      <x:c r="D183" s="10" t="str">
        <x:v>pawns</x:v>
      </x:c>
      <x:c r="E183" s="21" t="str">
        <x:v>Twelve active staff.</x:v>
      </x:c>
    </x:row>
    <x:row r="184" ht="22" customHeight="1">
      <x:c r="A184" s="10" t="str">
        <x:v>Input</x:v>
      </x:c>
      <x:c r="B184" s="10" t="str">
        <x:v>New hires</x:v>
      </x:c>
      <x:c r="C184" s="101" t="n">
        <x:v>2</x:v>
      </x:c>
      <x:c r="D184" s="10" t="str">
        <x:v>pawns</x:v>
      </x:c>
      <x:c r="E184" s="21" t="str">
        <x:v>Two new hires.</x:v>
      </x:c>
    </x:row>
    <x:row r="185" ht="22" customHeight="1">
      <x:c r="A185" s="10" t="str">
        <x:v>Input</x:v>
      </x:c>
      <x:c r="B185" s="10" t="str">
        <x:v>Contracts paid, planning case</x:v>
      </x:c>
      <x:c r="C185" s="101" t="n">
        <x:v>4</x:v>
      </x:c>
      <x:c r="D185" s="10" t="str">
        <x:v>contracts</x:v>
      </x:c>
      <x:c r="E185" s="21" t="str">
        <x:v>Four paid deep-site deliverables.</x:v>
      </x:c>
    </x:row>
    <x:row r="186" ht="22" customHeight="1">
      <x:c r="A186" s="10" t="str">
        <x:v>Input</x:v>
      </x:c>
      <x:c r="B186" s="10" t="str">
        <x:v>Contracts paid, downside case</x:v>
      </x:c>
      <x:c r="C186" s="101" t="n">
        <x:v>1</x:v>
      </x:c>
      <x:c r="D186" s="10" t="str">
        <x:v>contracts</x:v>
      </x:c>
      <x:c r="E186" s="21" t="str">
        <x:v>Three fewer paid contracts.</x:v>
      </x:c>
    </x:row>
    <x:row r="187" ht="22" customHeight="1">
      <x:c r="A187" s="10" t="str">
        <x:v>Input</x:v>
      </x:c>
      <x:c r="B187" s="10" t="str">
        <x:v>Average contract receipt</x:v>
      </x:c>
      <x:c r="C187" s="101" t="n">
        <x:v>300000000</x:v>
      </x:c>
      <x:c r="D187" s="10" t="str">
        <x:v>USD / contract</x:v>
      </x:c>
      <x:c r="E187" s="21" t="str">
        <x:v>Planning average only; exceptional value requires buyer-specific deliverables and accepted rights.</x:v>
      </x:c>
    </x:row>
    <x:row r="188" ht="22" customHeight="1">
      <x:c r="A188" s="10" t="str">
        <x:v>Input</x:v>
      </x:c>
      <x:c r="B188" s="10" t="str">
        <x:v>Active outpost days</x:v>
      </x:c>
      <x:c r="C188" s="101" t="n">
        <x:v>30</x:v>
      </x:c>
      <x:c r="D188" s="10" t="str">
        <x:v>days</x:v>
      </x:c>
      <x:c r="E188" s="21" t="str">
        <x:v>One active outpost for the full period.</x:v>
      </x:c>
    </x:row>
    <x:row r="189" ht="22" customHeight="1">
      <x:c r="A189" s="10" t="str">
        <x:v>Input</x:v>
      </x:c>
      <x:c r="B189" s="10" t="str">
        <x:v>Additional facility lease days</x:v>
      </x:c>
      <x:c r="C189" s="101" t="n">
        <x:v>0</x:v>
      </x:c>
      <x:c r="D189" s="10" t="str">
        <x:v>days</x:v>
      </x:c>
      <x:c r="E189" s="21" t="str">
        <x:v>No additional HQ lease.</x:v>
      </x:c>
    </x:row>
    <x:row r="190" ht="22" customHeight="1">
      <x:c r="A190" s="10" t="str">
        <x:v>Input</x:v>
      </x:c>
      <x:c r="B190" s="10" t="str">
        <x:v>Survey-kit orders</x:v>
      </x:c>
      <x:c r="C190" s="101" t="n">
        <x:v>3</x:v>
      </x:c>
      <x:c r="D190" s="10" t="str">
        <x:v>orders</x:v>
      </x:c>
      <x:c r="E190" s="21" t="str">
        <x:v>Three physical kit orders.</x:v>
      </x:c>
    </x:row>
    <x:row r="191" ht="22" customHeight="1">
      <x:c r="A191" s="10" t="str">
        <x:v>Input</x:v>
      </x:c>
      <x:c r="B191" s="10" t="str">
        <x:v>Research-material orders</x:v>
      </x:c>
      <x:c r="C191" s="101" t="n">
        <x:v>3</x:v>
      </x:c>
      <x:c r="D191" s="10" t="str">
        <x:v>orders</x:v>
      </x:c>
      <x:c r="E191" s="21" t="str">
        <x:v>Three physical research-supply orders.</x:v>
      </x:c>
    </x:row>
    <x:row r="192" ht="22" customHeight="1">
      <x:c r="A192" s="10" t="str">
        <x:v>Input</x:v>
      </x:c>
      <x:c r="B192" s="10" t="str">
        <x:v>Other explicit quoted costs</x:v>
      </x:c>
      <x:c r="C192" s="101" t="n">
        <x:v>100000000</x:v>
      </x:c>
      <x:c r="D192" s="10" t="str">
        <x:v>USD / period</x:v>
      </x:c>
      <x:c r="E192" s="21" t="str">
        <x:v>Explicit stabilization/recovery quote placeholder; not an automatic fee.</x:v>
      </x:c>
    </x:row>
    <x:row r="193" ht="22" customHeight="1">
      <x:c r="A193" s="10" t="str">
        <x:v>Calculation</x:v>
      </x:c>
      <x:c r="B193" s="10" t="str">
        <x:v>Opening account, planning</x:v>
      </x:c>
      <x:c r="C193" s="102" t="n">
        <x:f>C174</x:f>
        <x:v>1203500000</x:v>
      </x:c>
      <x:c r="D193" s="10" t="str">
        <x:v>USD</x:v>
      </x:c>
      <x:c r="E193" s="21" t="str">
        <x:v>Carries the prior stage balance on this branch.</x:v>
      </x:c>
    </x:row>
    <x:row r="194" ht="22" customHeight="1">
      <x:c r="A194" s="10" t="str">
        <x:v>Calculation</x:v>
      </x:c>
      <x:c r="B194" s="10" t="str">
        <x:v>Contract receipts, planning</x:v>
      </x:c>
      <x:c r="C194" s="102" t="n">
        <x:f>C185*C187</x:f>
        <x:v>1200000000</x:v>
      </x:c>
      <x:c r="D194" s="10" t="str">
        <x:v>USD</x:v>
      </x:c>
      <x:c r="E194" s="21" t="str">
        <x:v>Only completed, accepted, paid deliverables create receipts.</x:v>
      </x:c>
    </x:row>
    <x:row r="195" ht="22" customHeight="1">
      <x:c r="A195" s="10" t="str">
        <x:v>Calculation</x:v>
      </x:c>
      <x:c r="B195" s="10" t="str">
        <x:v>Payroll</x:v>
      </x:c>
      <x:c r="C195" s="102" t="n">
        <x:f>-(C183*$B$18*C182)</x:f>
        <x:v>-1800000</x:v>
      </x:c>
      <x:c r="D195" s="10" t="str">
        <x:v>USD</x:v>
      </x:c>
      <x:c r="E195" s="21" t="str">
        <x:v>Full-period staffing at linked base pay.</x:v>
      </x:c>
    </x:row>
    <x:row r="196" ht="22" customHeight="1">
      <x:c r="A196" s="10" t="str">
        <x:v>Calculation</x:v>
      </x:c>
      <x:c r="B196" s="10" t="str">
        <x:v>HQ overhead</x:v>
      </x:c>
      <x:c r="C196" s="102" t="n">
        <x:f>-(C182*$B$19)</x:f>
        <x:v>-750000</x:v>
      </x:c>
      <x:c r="D196" s="10" t="str">
        <x:v>USD</x:v>
      </x:c>
      <x:c r="E196" s="21" t="str">
        <x:v>Routine overhead; not a charge for power draw.</x:v>
      </x:c>
    </x:row>
    <x:row r="197" ht="22" customHeight="1">
      <x:c r="A197" s="10" t="str">
        <x:v>Calculation</x:v>
      </x:c>
      <x:c r="B197" s="10" t="str">
        <x:v>Automatic food debit</x:v>
      </x:c>
      <x:c r="C197" s="102" t="n">
        <x:f>-(C183*C182*$B$20)</x:f>
        <x:v>0</x:v>
      </x:c>
      <x:c r="D197" s="10" t="str">
        <x:v>USD</x:v>
      </x:c>
      <x:c r="E197" s="21" t="str">
        <x:v>Zero for ordinary meals; purchased food needs an explicit invoice.</x:v>
      </x:c>
    </x:row>
    <x:row r="198" ht="22" customHeight="1">
      <x:c r="A198" s="10" t="str">
        <x:v>Calculation</x:v>
      </x:c>
      <x:c r="B198" s="10" t="str">
        <x:v>New-hire setup</x:v>
      </x:c>
      <x:c r="C198" s="102" t="n">
        <x:f>-(C184*$B$21)</x:f>
        <x:v>-200000</x:v>
      </x:c>
      <x:c r="D198" s="10" t="str">
        <x:v>USD</x:v>
      </x:c>
      <x:c r="E198" s="21" t="str">
        <x:v>One-time hiring setup.</x:v>
      </x:c>
    </x:row>
    <x:row r="199" ht="22" customHeight="1">
      <x:c r="A199" s="10" t="str">
        <x:v>Calculation</x:v>
      </x:c>
      <x:c r="B199" s="10" t="str">
        <x:v>Outpost operation</x:v>
      </x:c>
      <x:c r="C199" s="102" t="n">
        <x:f>-(C188*$B$22)</x:f>
        <x:v>-7500000</x:v>
      </x:c>
      <x:c r="D199" s="10" t="str">
        <x:v>USD</x:v>
      </x:c>
      <x:c r="E199" s="21" t="str">
        <x:v>Local site/service cost; staff and physical goods remain separate.</x:v>
      </x:c>
    </x:row>
    <x:row r="200" ht="22" customHeight="1">
      <x:c r="A200" s="10" t="str">
        <x:v>Calculation</x:v>
      </x:c>
      <x:c r="B200" s="10" t="str">
        <x:v>Additional facility rent</x:v>
      </x:c>
      <x:c r="C200" s="102" t="n">
        <x:f>-(C189*$B$23)</x:f>
        <x:v>0</x:v>
      </x:c>
      <x:c r="D200" s="10" t="str">
        <x:v>USD</x:v>
      </x:c>
      <x:c r="E200" s="21" t="str">
        <x:v>Only for leased company space.</x:v>
      </x:c>
    </x:row>
    <x:row r="201" ht="22" customHeight="1">
      <x:c r="A201" s="10" t="str">
        <x:v>Calculation</x:v>
      </x:c>
      <x:c r="B201" s="10" t="str">
        <x:v>Survey-kit orders</x:v>
      </x:c>
      <x:c r="C201" s="102" t="n">
        <x:f>-(C190*$B$24)</x:f>
        <x:v>-2250000</x:v>
      </x:c>
      <x:c r="D201" s="10" t="str">
        <x:v>USD</x:v>
      </x:c>
      <x:c r="E201" s="21" t="str">
        <x:v>Paid once; physical shipment arrives later.</x:v>
      </x:c>
    </x:row>
    <x:row r="202" ht="22" customHeight="1">
      <x:c r="A202" s="10" t="str">
        <x:v>Calculation</x:v>
      </x:c>
      <x:c r="B202" s="10" t="str">
        <x:v>Research-material orders</x:v>
      </x:c>
      <x:c r="C202" s="102" t="n">
        <x:f>-(C191*$B$25)</x:f>
        <x:v>-6000000</x:v>
      </x:c>
      <x:c r="D202" s="10" t="str">
        <x:v>USD</x:v>
      </x:c>
      <x:c r="E202" s="21" t="str">
        <x:v>Paid once; physical research supplies arrive later.</x:v>
      </x:c>
    </x:row>
    <x:row r="203" ht="22" customHeight="1">
      <x:c r="A203" s="10" t="str">
        <x:v>Calculation</x:v>
      </x:c>
      <x:c r="B203" s="10" t="str">
        <x:v>Other quoted support costs</x:v>
      </x:c>
      <x:c r="C203" s="102" t="n">
        <x:f>-C192</x:f>
        <x:v>-100000000</x:v>
      </x:c>
      <x:c r="D203" s="10" t="str">
        <x:v>USD</x:v>
      </x:c>
      <x:c r="E203" s="21" t="str">
        <x:v>Explicit quote only; not automatic event taxation.</x:v>
      </x:c>
    </x:row>
    <x:row r="204" ht="22" customHeight="1">
      <x:c r="A204" s="41" t="str">
        <x:v>Output</x:v>
      </x:c>
      <x:c r="B204" s="41" t="str">
        <x:v>Closing account, planning</x:v>
      </x:c>
      <x:c r="C204" s="105" t="n">
        <x:f>C193+C194+SUM(C195:C203)-'Recovery &amp; Capital'!$I$13+'Extended Cases'!$D$13+'Extended Cases'!$G$13+'Extended Cases'!$P$13-MIN(MAX(0,'Extended Cases'!$O$13),MAX(0,C194))</x:f>
        <x:v>2285000000</x:v>
      </x:c>
      <x:c r="D204" s="41" t="str">
        <x:v>USD</x:v>
      </x:c>
      <x:c r="E204" s="113" t="str">
        <x:v>Planning close after listed receipts and costs.</x:v>
      </x:c>
    </x:row>
    <x:row r="205" ht="22" customHeight="1">
      <x:c r="A205" s="10" t="str">
        <x:v>Calculation</x:v>
      </x:c>
      <x:c r="B205" s="10" t="str">
        <x:v>Opening account, downside</x:v>
      </x:c>
      <x:c r="C205" s="102" t="n">
        <x:f>C177</x:f>
        <x:v>451000000</x:v>
      </x:c>
      <x:c r="D205" s="10" t="str">
        <x:v>USD</x:v>
      </x:c>
      <x:c r="E205" s="21" t="str">
        <x:v>Carries the prior no-survey/fewer-receipt balance.</x:v>
      </x:c>
    </x:row>
    <x:row r="206" ht="22" customHeight="1">
      <x:c r="A206" s="10" t="str">
        <x:v>Calculation</x:v>
      </x:c>
      <x:c r="B206" s="10" t="str">
        <x:v>Contract receipts, downside</x:v>
      </x:c>
      <x:c r="C206" s="102" t="n">
        <x:f>C186*C187</x:f>
        <x:v>300000000</x:v>
      </x:c>
      <x:c r="D206" s="10" t="str">
        <x:v>USD</x:v>
      </x:c>
      <x:c r="E206" s="21" t="str">
        <x:v>Only completed, accepted, paid deliverables create receipts.</x:v>
      </x:c>
    </x:row>
    <x:row r="207" ht="22" customHeight="1">
      <x:c r="A207" s="41" t="str">
        <x:v>Output</x:v>
      </x:c>
      <x:c r="B207" s="41" t="str">
        <x:v>Closing account, downside</x:v>
      </x:c>
      <x:c r="C207" s="105" t="n">
        <x:f>C205+C206+SUM(C195:C203)-'Recovery &amp; Capital'!$I$13+'Extended Cases'!$D$13+'Extended Cases'!$G$13+'Extended Cases'!$P$13-MIN(MAX(0,'Extended Cases'!$O$13),MAX(0,C206))</x:f>
        <x:v>632500000</x:v>
      </x:c>
      <x:c r="D207" s="41" t="str">
        <x:v>USD</x:v>
      </x:c>
      <x:c r="E207" s="113" t="str">
        <x:v>Downside close after listed receipts and costs.</x:v>
      </x:c>
    </x:row>
    <x:row r="208" ht="22" customHeight="1">
      <x:c r="A208" s="12" t="str">
        <x:v>Output</x:v>
      </x:c>
      <x:c r="B208" s="12" t="str">
        <x:v>Downside funding gap</x:v>
      </x:c>
      <x:c r="C208" s="106" t="n">
        <x:f>MAX(0,-C207)</x:f>
        <x:v>0</x:v>
      </x:c>
      <x:c r="D208" s="12" t="str">
        <x:v>USD</x:v>
      </x:c>
      <x:c r="E208" s="114" t="str">
        <x:v>Shortfall in this plan; no borrowing rule is implied.</x:v>
      </x:c>
    </x:row>
  </x:sheetData>
  <x:mergeCells>
    <x:mergeCell ref="A6:E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42" hidden="0" customWidth="1"/>
    <x:col min="3" max="3" width="20" hidden="0" customWidth="1"/>
    <x:col min="4" max="4" width="30" hidden="0" customWidth="1"/>
    <x:col min="5" max="5" width="24" hidden="0" customWidth="1"/>
    <x:col min="6" max="6" width="19" hidden="0" customWidth="1"/>
  </x:cols>
  <x:sheetData>
    <x:row r="1" ht="26" customHeight="1">
      <x:c r="A1" s="121"/>
      <x:c r="B1" s="121"/>
      <x:c r="C1" s="121"/>
      <x:c r="D1" s="121"/>
      <x:c r="E1" s="121"/>
      <x:c r="F1" s="121"/>
    </x:row>
    <x:row r="2" ht="26" customHeight="1">
      <x:c r="A2" s="29" t="str">
        <x:v>Rimrooms - Async Industries: bulk money and cargo</x:v>
      </x:c>
      <x:c r="B2" s="29"/>
      <x:c r="C2" s="29"/>
      <x:c r="D2" s="29"/>
      <x:c r="E2" s="29"/>
      <x:c r="F2" s="29"/>
    </x:row>
    <x:row r="3" ht="38" customHeight="1">
      <x:c r="A3" s="30" t="str">
        <x:v>Cash stays on the branch ledger. Physical goods use the effective stack rules from the active save and still need bounded storage and handling.</x:v>
      </x:c>
      <x:c r="B3" s="30"/>
      <x:c r="C3" s="30"/>
      <x:c r="D3" s="30"/>
      <x:c r="E3" s="30"/>
      <x:c r="F3" s="30"/>
    </x:row>
    <x:row r="4" ht="26" customHeight="1">
      <x:c r="A4" s="121"/>
      <x:c r="B4" s="121"/>
      <x:c r="C4" s="121"/>
      <x:c r="D4" s="121"/>
      <x:c r="E4" s="121"/>
      <x:c r="F4" s="121"/>
    </x:row>
    <x:row r="5" ht="26" customHeight="1">
      <x:c r="A5" s="117" t="str">
        <x:v>Case</x:v>
      </x:c>
      <x:c r="B5" s="117" t="str">
        <x:v>Quantity</x:v>
      </x:c>
      <x:c r="C5" s="117" t="str">
        <x:v>Core base limit</x:v>
      </x:c>
      <x:c r="D5" s="117" t="str">
        <x:v>OgreStack profile default</x:v>
      </x:c>
      <x:c r="E5" s="117" t="str">
        <x:v>Stacks with profile default</x:v>
      </x:c>
      <x:c r="F5" s="117" t="str">
        <x:v>Stacks Core-only</x:v>
      </x:c>
    </x:row>
    <x:row r="6" ht="26" customHeight="1">
      <x:c r="A6" s="121" t="str">
        <x:v>One million silver</x:v>
      </x:c>
      <x:c r="B6" s="122" t="n">
        <x:v>1000000</x:v>
      </x:c>
      <x:c r="C6" s="122" t="n">
        <x:v>500</x:v>
      </x:c>
      <x:c r="D6" s="122" t="n">
        <x:v>15000</x:v>
      </x:c>
      <x:c r="E6" s="122" t="n">
        <x:f>INT((B6+D6-1)/D6)</x:f>
        <x:v>67</x:v>
      </x:c>
      <x:c r="F6" s="122" t="n">
        <x:f>INT((B6+C6-1)/C6)</x:f>
        <x:v>2000</x:v>
      </x:c>
    </x:row>
    <x:row r="7" ht="26" customHeight="1">
      <x:c r="A7" s="121" t="str">
        <x:v>One billion-dollar Company Account</x:v>
      </x:c>
      <x:c r="B7" s="121" t="n">
        <x:v>1000000000</x:v>
      </x:c>
      <x:c r="C7" s="121" t="str">
        <x:v>ledger entry</x:v>
      </x:c>
      <x:c r="D7" s="121" t="str">
        <x:v>ledger entry</x:v>
      </x:c>
      <x:c r="E7" s="121" t="str">
        <x:v>no item stacks</x:v>
      </x:c>
      <x:c r="F7" s="121" t="str">
        <x:v>no item stacks</x:v>
      </x:c>
    </x:row>
    <x:row r="8" ht="26" customHeight="1">
      <x:c r="A8" s="121"/>
      <x:c r="B8" s="121"/>
      <x:c r="C8" s="121"/>
      <x:c r="D8" s="121"/>
      <x:c r="E8" s="121"/>
      <x:c r="F8" s="121"/>
    </x:row>
    <x:row r="9" ht="26" customHeight="1">
      <x:c r="A9" s="90" t="str">
        <x:v>Interpretation</x:v>
      </x:c>
      <x:c r="B9" s="90"/>
      <x:c r="C9" s="90"/>
      <x:c r="D9" s="90"/>
      <x:c r="E9" s="90"/>
      <x:c r="F9" s="90"/>
    </x:row>
    <x:row r="10" ht="58" customHeight="1">
      <x:c r="A10" s="123" t="str">
        <x:v>Silver: Core base 500, smallVolume. OgreStack row 157 default ×30 means 15,000 per stack, 67 stacks. Active save settings/overrides still need runtime check.</x:v>
      </x:c>
      <x:c r="B10" s="123"/>
      <x:c r="C10" s="123"/>
      <x:c r="D10" s="123"/>
      <x:c r="E10" s="123"/>
      <x:c r="F10" s="123"/>
    </x:row>
    <x:row r="11" ht="26" customHeight="1">
      <x:c r="A11" s="121"/>
      <x:c r="B11" s="121"/>
      <x:c r="C11" s="121"/>
      <x:c r="D11" s="121"/>
      <x:c r="E11" s="121"/>
      <x:c r="F11" s="121"/>
    </x:row>
    <x:row r="12" ht="26" customHeight="1">
      <x:c r="A12" s="117" t="str">
        <x:v>Design requirement</x:v>
      </x:c>
      <x:c r="B12" s="117" t="str">
        <x:v>Rule</x:v>
      </x:c>
      <x:c r="C12" s="121"/>
      <x:c r="D12" s="121"/>
      <x:c r="E12" s="121"/>
      <x:c r="F12" s="121"/>
    </x:row>
    <x:row r="13" ht="54" customHeight="1">
      <x:c r="A13" s="123" t="str">
        <x:v>Cash</x:v>
      </x:c>
      <x:c r="B13" s="123" t="str">
        <x:v>Never create item stacks for Company Account balances.</x:v>
      </x:c>
      <x:c r="C13" s="121"/>
      <x:c r="D13" s="121"/>
      <x:c r="E13" s="121"/>
      <x:c r="F13" s="121"/>
    </x:row>
    <x:row r="14" ht="54" customHeight="1">
      <x:c r="A14" s="123" t="str">
        <x:v>Carry</x:v>
      </x:c>
      <x:c r="B14" s="123" t="str">
        <x:v>Use the actual saved item limit and pawn capacity after mandatory kit.</x:v>
      </x:c>
      <x:c r="C14" s="121"/>
      <x:c r="D14" s="121"/>
      <x:c r="E14" s="121"/>
      <x:c r="F14" s="121"/>
    </x:row>
    <x:row r="15" ht="54" customHeight="1">
      <x:c r="A15" s="123" t="str">
        <x:v>Storage</x:v>
      </x:c>
      <x:c r="B15" s="123" t="str">
        <x:v>Physical quantity occupies bounded, inspectable stockpile/container capacity.</x:v>
      </x:c>
      <x:c r="C15" s="121"/>
      <x:c r="D15" s="121"/>
      <x:c r="E15" s="121"/>
      <x:c r="F15" s="121"/>
    </x:row>
    <x:row r="16" ht="54" customHeight="1">
      <x:c r="A16" s="123" t="str">
        <x:v>Throughput</x:v>
      </x:c>
      <x:c r="B16" s="123" t="str">
        <x:v>Show stacks, receiving batches, hauling labor/time, and route constraints before acceptance.</x:v>
      </x:c>
      <x:c r="C16" s="121"/>
      <x:c r="D16" s="121"/>
      <x:c r="E16" s="121"/>
      <x:c r="F16" s="121"/>
    </x:row>
    <x:row r="17" ht="54" customHeight="1">
      <x:c r="A17" s="123" t="str">
        <x:v>Shipment</x:v>
      </x:c>
      <x:c r="B17" s="123" t="str">
        <x:v>Stage or split bulk deliveries; reconcile the arrived manifest to physical items.</x:v>
      </x:c>
      <x:c r="C17" s="121"/>
      <x:c r="D17" s="121"/>
      <x:c r="E17" s="121"/>
      <x:c r="F17" s="121"/>
    </x:row>
    <x:row r="18" ht="54" customHeight="1">
      <x:c r="A18" s="123" t="str">
        <x:v>OgreStack</x:v>
      </x:c>
      <x:c r="B18" s="123" t="str">
        <x:v>Use effective runtime limits and preserve Core-only gameplay; do not bake one preset into Rimrooms.</x:v>
      </x:c>
      <x:c r="C18" s="121"/>
      <x:c r="D18" s="121"/>
      <x:c r="E18" s="121"/>
      <x:c r="F18" s="121"/>
    </x:row>
    <x:row r="19" ht="54" customHeight="1">
      <x:c r="A19" s="123" t="str">
        <x:v>RWT</x:v>
      </x:c>
      <x:c r="B19" s="123" t="str">
        <x:v>Test configured stack transfer, receipts, save/reload, and recovery separately.</x:v>
      </x:c>
      <x:c r="C19" s="121"/>
      <x:c r="D19" s="121"/>
      <x:c r="E19" s="121"/>
      <x:c r="F19" s="121"/>
    </x:row>
    <x:row r="20" ht="26" customHeight="1">
      <x:c r="A20" s="121"/>
      <x:c r="B20" s="121"/>
      <x:c r="C20" s="121"/>
      <x:c r="D20" s="121"/>
      <x:c r="E20" s="121"/>
      <x:c r="F20" s="121"/>
    </x:row>
    <x:row r="21" ht="26" customHeight="1">
      <x:c r="A21" s="90" t="str">
        <x:v>Source and evidence</x:v>
      </x:c>
      <x:c r="B21" s="90"/>
      <x:c r="C21" s="90"/>
      <x:c r="D21" s="90"/>
      <x:c r="E21" s="90"/>
      <x:c r="F21" s="90"/>
    </x:row>
    <x:row r="22" ht="65" customHeight="1">
      <x:c r="A22" s="123" t="str">
        <x:v>Core source: installed Data/Core/Defs/ThingDefs_Items/Items_Resource_Stuff.xml, Silver: stackLimit 500 and smallVolume true. Profile row 157: OgreStack / Ogre.OgreStack. Published defaults: Small Volume Resources ×30. Source review: docs/research/reviews/mods/1447140290-Ogre.OgreStack.md; interaction map: docs/research/PRIORITY_PROFILE_INTERACTIONS.md. The active save preset and transfers are not yet runtime-verified.</x:v>
      </x:c>
      <x:c r="B22" s="123"/>
      <x:c r="C22" s="123"/>
      <x:c r="D22" s="123"/>
      <x:c r="E22" s="123"/>
      <x:c r="F22" s="123"/>
    </x:row>
    <x:row r="23" ht="26" customHeight="1">
      <x:c r="A23" s="121"/>
      <x:c r="B23" s="121"/>
      <x:c r="C23" s="121"/>
      <x:c r="D23" s="121"/>
      <x:c r="E23" s="121"/>
      <x:c r="F23" s="121"/>
    </x:row>
    <x:row r="24" ht="26" customHeight="1">
      <x:c r="A24" s="121"/>
      <x:c r="B24" s="121"/>
      <x:c r="C24" s="121"/>
      <x:c r="D24" s="121"/>
      <x:c r="E24" s="121"/>
      <x:c r="F24" s="121"/>
    </x:row>
    <x:row r="25" ht="26" customHeight="1">
      <x:c r="A25" s="121"/>
      <x:c r="B25" s="121"/>
      <x:c r="C25" s="121"/>
      <x:c r="D25" s="121"/>
      <x:c r="E25" s="121"/>
      <x:c r="F25" s="121"/>
    </x:row>
  </x:sheetData>
  <x:mergeCells>
    <x:mergeCell ref="A3:F3"/>
    <x:mergeCell ref="A10:F10"/>
    <x:mergeCell ref="A22:F2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8" hidden="0" customWidth="1"/>
    <x:col min="3" max="3" width="22" hidden="0" customWidth="1"/>
    <x:col min="4" max="4" width="16" hidden="0" customWidth="1"/>
    <x:col min="5" max="5" width="20" hidden="0" customWidth="1"/>
    <x:col min="6" max="6" width="22" hidden="0" customWidth="1"/>
    <x:col min="7" max="7" width="22" hidden="0" customWidth="1"/>
    <x:col min="8" max="8" width="25" hidden="0" customWidth="1"/>
    <x:col min="9" max="9" width="21" hidden="0" customWidth="1"/>
    <x:col min="10" max="10" width="34" hidden="0" customWidth="1"/>
    <x:col min="11" max="11" width="22" hidden="0" customWidth="1"/>
    <x:col min="12" max="12" width="25" hidden="0" customWidth="1"/>
    <x:col min="13" max="13" width="22" hidden="0" customWidth="1"/>
    <x:col min="14" max="14" width="40" hidden="0" customWidth="1"/>
  </x:cols>
  <x:sheetData>
    <x:row r="1">
      <x:c r="A1" s="10"/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</x:row>
    <x:row r="2">
      <x:c r="A2" s="163" t="str">
        <x:v>Rimrooms - Async Industries: recovery and capital planning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3" ht="22" customHeight="1">
      <x:c r="A3" s="251" t="str">
        <x:v>30-day pre-code cases. New quotes, recovery actions, and milestone amounts are editable hypotheses, not approved prices or automatic funding.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</x:row>
    <x:row r="4" ht="24" customHeight="1">
      <x:c r="A4" s="251" t="str">
        <x:v>Fixed product rules: USD ledger stays separate from physical goods; pawns haul real stock; Core remains supported; OgreStack is only a planning baseline. All other values below are scenario inputs pending design approval and playtesting.</x:v>
      </x:c>
      <x:c r="B4" s="251"/>
      <x:c r="C4" s="251"/>
      <x:c r="D4" s="251"/>
      <x:c r="E4" s="251"/>
      <x:c r="F4" s="251"/>
      <x:c r="G4" s="251"/>
      <x:c r="H4" s="251"/>
      <x:c r="I4" s="251"/>
      <x:c r="J4" s="251"/>
      <x:c r="K4" s="251"/>
      <x:c r="L4" s="251"/>
      <x:c r="M4" s="251"/>
      <x:c r="N4" s="251"/>
    </x:row>
    <x:row r="5">
      <x:c r="A5" s="351" t="str">
        <x:v>Added monthly cost inputs</x:v>
      </x:c>
      <x:c r="B5" s="351"/>
      <x:c r="C5" s="351"/>
      <x:c r="D5" s="351"/>
      <x:c r="E5" s="351"/>
      <x:c r="F5" s="351"/>
      <x:c r="G5" s="351"/>
      <x:c r="H5" s="351"/>
      <x:c r="I5" s="351"/>
      <x:c r="J5" s="351"/>
      <x:c r="K5" s="351"/>
      <x:c r="L5" s="351"/>
      <x:c r="M5" s="351"/>
      <x:c r="N5" s="351"/>
    </x:row>
    <x:row r="6" ht="48" customHeight="1">
      <x:c r="A6" s="356" t="str">
        <x:v>Campaign stage</x:v>
      </x:c>
      <x:c r="B6" s="356" t="str">
        <x:v>Specialists (FTE)</x:v>
      </x:c>
      <x:c r="C6" s="356" t="str">
        <x:v>Premium / specialist / day (USD)</x:v>
      </x:c>
      <x:c r="D6" s="356" t="str">
        <x:v>Transport runs / month</x:v>
      </x:c>
      <x:c r="E6" s="356" t="str">
        <x:v>Quoted transport / run (USD)</x:v>
      </x:c>
      <x:c r="F6" s="356" t="str">
        <x:v>Equipment replacement quotes (USD / month)</x:v>
      </x:c>
      <x:c r="G6" s="356" t="str">
        <x:v>Cargo replacement purchases (USD / month)</x:v>
      </x:c>
      <x:c r="H6" s="356" t="str">
        <x:v>Security and site maintenance quote (USD / month)</x:v>
      </x:c>
      <x:c r="I6" s="356" t="str">
        <x:v>Added monthly cost (USD)</x:v>
      </x:c>
      <x:c r="J6" s="356" t="str">
        <x:v>Basis / status</x:v>
      </x:c>
      <x:c r="K6" s="353"/>
      <x:c r="L6" s="353"/>
      <x:c r="M6" s="353"/>
      <x:c r="N6" s="353"/>
    </x:row>
    <x:row r="7" ht="34" customHeight="1">
      <x:c r="A7" s="165" t="str">
        <x:v>Stage 1: First safe survey</x:v>
      </x:c>
      <x:c r="B7" s="360" t="n">
        <x:v>0</x:v>
      </x:c>
      <x:c r="C7" s="361" t="n">
        <x:v>0</x:v>
      </x:c>
      <x:c r="D7" s="362" t="n">
        <x:v>0</x:v>
      </x:c>
      <x:c r="E7" s="361" t="n">
        <x:v>0</x:v>
      </x:c>
      <x:c r="F7" s="361" t="n">
        <x:v>0</x:v>
      </x:c>
      <x:c r="G7" s="361" t="n">
        <x:v>0</x:v>
      </x:c>
      <x:c r="H7" s="361" t="n">
        <x:v>0</x:v>
      </x:c>
      <x:c r="I7" s="169" t="n">
        <x:f>B7*C7*'Economy'!$C$32+D7*E7+SUM(F7:H7)+'Extended Cases'!$K$7+'Extended Cases'!$N$7+'Extended Cases'!$K$18+'Extended Cases'!$L$29</x:f>
        <x:v>0</x:v>
      </x:c>
      <x:c r="J7" s="170" t="str">
        <x:v>Editable planning quote only. Zero means unquoted, not free or owner-approved.</x:v>
      </x:c>
      <x:c r="K7" s="10"/>
      <x:c r="L7" s="10"/>
      <x:c r="M7" s="10"/>
      <x:c r="N7" s="10"/>
    </x:row>
    <x:row r="8" ht="34" customHeight="1">
      <x:c r="A8" s="165" t="str">
        <x:v>Stage 2: Repeat access</x:v>
      </x:c>
      <x:c r="B8" s="360" t="n">
        <x:v>0</x:v>
      </x:c>
      <x:c r="C8" s="361" t="n">
        <x:v>0</x:v>
      </x:c>
      <x:c r="D8" s="362" t="n">
        <x:v>0</x:v>
      </x:c>
      <x:c r="E8" s="361" t="n">
        <x:v>0</x:v>
      </x:c>
      <x:c r="F8" s="361" t="n">
        <x:v>0</x:v>
      </x:c>
      <x:c r="G8" s="361" t="n">
        <x:v>0</x:v>
      </x:c>
      <x:c r="H8" s="361" t="n">
        <x:v>0</x:v>
      </x:c>
      <x:c r="I8" s="169" t="n">
        <x:f>B8*C8*'Campaign Scenarios'!$C$32+D8*E8+SUM(F8:H8)+'Extended Cases'!$K$8+'Extended Cases'!$N$8+'Extended Cases'!$K$19+'Extended Cases'!$L$30</x:f>
        <x:v>0</x:v>
      </x:c>
      <x:c r="J8" s="170" t="str">
        <x:v>Editable planning quote only. Zero means unquoted, not free or owner-approved.</x:v>
      </x:c>
      <x:c r="K8" s="10"/>
      <x:c r="L8" s="10"/>
      <x:c r="M8" s="10"/>
      <x:c r="N8" s="10"/>
    </x:row>
    <x:row r="9" ht="34" customHeight="1">
      <x:c r="A9" s="165" t="str">
        <x:v>Stage 3: Specialist services</x:v>
      </x:c>
      <x:c r="B9" s="360" t="n">
        <x:v>0</x:v>
      </x:c>
      <x:c r="C9" s="361" t="n">
        <x:v>0</x:v>
      </x:c>
      <x:c r="D9" s="362" t="n">
        <x:v>0</x:v>
      </x:c>
      <x:c r="E9" s="361" t="n">
        <x:v>0</x:v>
      </x:c>
      <x:c r="F9" s="361" t="n">
        <x:v>0</x:v>
      </x:c>
      <x:c r="G9" s="361" t="n">
        <x:v>0</x:v>
      </x:c>
      <x:c r="H9" s="361" t="n">
        <x:v>0</x:v>
      </x:c>
      <x:c r="I9" s="169" t="n">
        <x:f>B9*C9*'Campaign Scenarios'!$C$62+D9*E9+SUM(F9:H9)+'Extended Cases'!$K$9+'Extended Cases'!$N$9+'Extended Cases'!$K$20+'Extended Cases'!$L$31</x:f>
        <x:v>0</x:v>
      </x:c>
      <x:c r="J9" s="170" t="str">
        <x:v>Editable planning quote only. Zero means unquoted, not free or owner-approved.</x:v>
      </x:c>
      <x:c r="K9" s="10"/>
      <x:c r="L9" s="10"/>
      <x:c r="M9" s="10"/>
      <x:c r="N9" s="10"/>
    </x:row>
    <x:row r="10" ht="34" customHeight="1">
      <x:c r="A10" s="165" t="str">
        <x:v>Stage 4: Leases and remote sites</x:v>
      </x:c>
      <x:c r="B10" s="360" t="n">
        <x:v>0</x:v>
      </x:c>
      <x:c r="C10" s="361" t="n">
        <x:v>0</x:v>
      </x:c>
      <x:c r="D10" s="362" t="n">
        <x:v>0</x:v>
      </x:c>
      <x:c r="E10" s="361" t="n">
        <x:v>0</x:v>
      </x:c>
      <x:c r="F10" s="361" t="n">
        <x:v>0</x:v>
      </x:c>
      <x:c r="G10" s="361" t="n">
        <x:v>0</x:v>
      </x:c>
      <x:c r="H10" s="361" t="n">
        <x:v>0</x:v>
      </x:c>
      <x:c r="I10" s="169" t="n">
        <x:f>B10*C10*'Campaign Scenarios'!$C$92+D10*E10+SUM(F10:H10)+'Extended Cases'!$K$10+'Extended Cases'!$N$10+'Extended Cases'!$K$21+'Extended Cases'!$L$32</x:f>
        <x:v>0</x:v>
      </x:c>
      <x:c r="J10" s="170" t="str">
        <x:v>Editable planning quote only. Zero means unquoted, not free or owner-approved.</x:v>
      </x:c>
      <x:c r="K10" s="10"/>
      <x:c r="L10" s="10"/>
      <x:c r="M10" s="10"/>
      <x:c r="N10" s="10"/>
    </x:row>
    <x:row r="11" ht="34" customHeight="1">
      <x:c r="A11" s="165" t="str">
        <x:v>Stage 5: Large recovery and network work</x:v>
      </x:c>
      <x:c r="B11" s="360" t="n">
        <x:v>0</x:v>
      </x:c>
      <x:c r="C11" s="361" t="n">
        <x:v>0</x:v>
      </x:c>
      <x:c r="D11" s="362" t="n">
        <x:v>0</x:v>
      </x:c>
      <x:c r="E11" s="361" t="n">
        <x:v>0</x:v>
      </x:c>
      <x:c r="F11" s="361" t="n">
        <x:v>0</x:v>
      </x:c>
      <x:c r="G11" s="361" t="n">
        <x:v>0</x:v>
      </x:c>
      <x:c r="H11" s="361" t="n">
        <x:v>0</x:v>
      </x:c>
      <x:c r="I11" s="169" t="n">
        <x:f>B11*C11*'Campaign Scenarios'!$C$122+D11*E11+SUM(F11:H11)+'Extended Cases'!$K$11+'Extended Cases'!$N$11+'Extended Cases'!$K$22+'Extended Cases'!$L$33</x:f>
        <x:v>0</x:v>
      </x:c>
      <x:c r="J11" s="170" t="str">
        <x:v>Editable planning quote only. Zero means unquoted, not free or owner-approved.</x:v>
      </x:c>
      <x:c r="K11" s="10"/>
      <x:c r="L11" s="10"/>
      <x:c r="M11" s="10"/>
      <x:c r="N11" s="10"/>
    </x:row>
    <x:row r="12" ht="34" customHeight="1">
      <x:c r="A12" s="165" t="str">
        <x:v>Stage 6: Vehicle and optional orbital support</x:v>
      </x:c>
      <x:c r="B12" s="360" t="n">
        <x:v>0</x:v>
      </x:c>
      <x:c r="C12" s="361" t="n">
        <x:v>0</x:v>
      </x:c>
      <x:c r="D12" s="362" t="n">
        <x:v>0</x:v>
      </x:c>
      <x:c r="E12" s="361" t="n">
        <x:v>0</x:v>
      </x:c>
      <x:c r="F12" s="361" t="n">
        <x:v>0</x:v>
      </x:c>
      <x:c r="G12" s="361" t="n">
        <x:v>0</x:v>
      </x:c>
      <x:c r="H12" s="361" t="n">
        <x:v>0</x:v>
      </x:c>
      <x:c r="I12" s="169" t="n">
        <x:f>B12*C12*'Campaign Scenarios'!$C$152+D12*E12+SUM(F12:H12)+'Extended Cases'!$K$12+'Extended Cases'!$N$12+'Extended Cases'!$K$23+'Extended Cases'!$L$34</x:f>
        <x:v>0</x:v>
      </x:c>
      <x:c r="J12" s="170" t="str">
        <x:v>Editable planning quote only. Zero means unquoted, not free or owner-approved.</x:v>
      </x:c>
      <x:c r="K12" s="10"/>
      <x:c r="L12" s="10"/>
      <x:c r="M12" s="10"/>
      <x:c r="N12" s="10"/>
    </x:row>
    <x:row r="13" ht="34" customHeight="1">
      <x:c r="A13" s="165" t="str">
        <x:v>Stage 7: Deep-site operations</x:v>
      </x:c>
      <x:c r="B13" s="360" t="n">
        <x:v>0</x:v>
      </x:c>
      <x:c r="C13" s="361" t="n">
        <x:v>0</x:v>
      </x:c>
      <x:c r="D13" s="362" t="n">
        <x:v>0</x:v>
      </x:c>
      <x:c r="E13" s="361" t="n">
        <x:v>0</x:v>
      </x:c>
      <x:c r="F13" s="361" t="n">
        <x:v>0</x:v>
      </x:c>
      <x:c r="G13" s="361" t="n">
        <x:v>0</x:v>
      </x:c>
      <x:c r="H13" s="361" t="n">
        <x:v>0</x:v>
      </x:c>
      <x:c r="I13" s="169" t="n">
        <x:f>B13*C13*'Campaign Scenarios'!$C$182+D13*E13+SUM(F13:H13)+'Extended Cases'!$K$13+'Extended Cases'!$N$13+'Extended Cases'!$K$24+'Extended Cases'!$L$35</x:f>
        <x:v>0</x:v>
      </x:c>
      <x:c r="J13" s="170" t="str">
        <x:v>Editable planning quote only. Zero means unquoted, not free or owner-approved.</x:v>
      </x:c>
      <x:c r="K13" s="10"/>
      <x:c r="L13" s="10"/>
      <x:c r="M13" s="10"/>
      <x:c r="N13" s="10"/>
    </x:row>
    <x:row r="14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</x:row>
    <x:row r="15">
      <x:c r="A15" s="351" t="str">
        <x:v>Milestone capital request controls</x:v>
      </x:c>
      <x:c r="B15" s="351"/>
      <x:c r="C15" s="351"/>
      <x:c r="D15" s="351"/>
      <x:c r="E15" s="351"/>
      <x:c r="F15" s="351"/>
      <x:c r="G15" s="351"/>
      <x:c r="H15" s="351"/>
      <x:c r="I15" s="351"/>
      <x:c r="J15" s="351"/>
      <x:c r="K15" s="351"/>
      <x:c r="L15" s="351"/>
      <x:c r="M15" s="351"/>
      <x:c r="N15" s="351"/>
    </x:row>
    <x:row r="16" ht="44" customHeight="1">
      <x:c r="A16" s="356" t="str">
        <x:v>Campaign stage</x:v>
      </x:c>
      <x:c r="B16" s="356" t="str">
        <x:v>Candidate milestone (original game design)</x:v>
      </x:c>
      <x:c r="C16" s="356" t="str">
        <x:v>Illustrative request target (USD)</x:v>
      </x:c>
      <x:c r="D16" s="356" t="str">
        <x:v>Milestone achieved? (0/1)</x:v>
      </x:c>
      <x:c r="E16" s="356" t="str">
        <x:v>Explicit approval? (0/1)</x:v>
      </x:c>
      <x:c r="F16" s="356" t="str">
        <x:v>Release if both gates pass (USD)</x:v>
      </x:c>
      <x:c r="G16" s="356" t="str">
        <x:v>Status</x:v>
      </x:c>
      <x:c r="H16" s="353"/>
      <x:c r="I16" s="353"/>
      <x:c r="J16" s="353"/>
      <x:c r="K16" s="353"/>
      <x:c r="L16" s="353"/>
      <x:c r="M16" s="353"/>
      <x:c r="N16" s="353"/>
    </x:row>
    <x:row r="17" ht="56" customHeight="1">
      <x:c r="A17" s="165" t="str">
        <x:v>Stage 1: First safe survey</x:v>
      </x:c>
      <x:c r="B17" s="187" t="str">
        <x:v>Accepted first survey records and returned crew</x:v>
      </x:c>
      <x:c r="C17" s="361" t="n">
        <x:v>0</x:v>
      </x:c>
      <x:c r="D17" s="362" t="n">
        <x:v>0</x:v>
      </x:c>
      <x:c r="E17" s="362" t="n">
        <x:v>0</x:v>
      </x:c>
      <x:c r="F17" s="169" t="n">
        <x:f>C17*D17*E17</x:f>
        <x:v>0</x:v>
      </x:c>
      <x:c r="G17" s="170" t="str">
        <x:v>Request target is a hypothesis; release is zero until achieved and explicitly approved.</x:v>
      </x:c>
      <x:c r="H17" s="10"/>
      <x:c r="I17" s="10"/>
      <x:c r="J17" s="10"/>
      <x:c r="K17" s="10"/>
      <x:c r="L17" s="10"/>
      <x:c r="M17" s="10"/>
      <x:c r="N17" s="10"/>
    </x:row>
    <x:row r="18" ht="56" customHeight="1">
      <x:c r="A18" s="165" t="str">
        <x:v>Stage 2: Repeat access</x:v>
      </x:c>
      <x:c r="B18" s="187" t="str">
        <x:v>Three routes verified; equipment and cargo reconciled</x:v>
      </x:c>
      <x:c r="C18" s="361" t="n">
        <x:v>25000000</x:v>
      </x:c>
      <x:c r="D18" s="362" t="n">
        <x:v>0</x:v>
      </x:c>
      <x:c r="E18" s="362" t="n">
        <x:v>0</x:v>
      </x:c>
      <x:c r="F18" s="169" t="n">
        <x:f>C18*D18*E18</x:f>
        <x:v>0</x:v>
      </x:c>
      <x:c r="G18" s="170" t="str">
        <x:v>Request target is a hypothesis; release is zero until achieved and explicitly approved.</x:v>
      </x:c>
      <x:c r="H18" s="10"/>
      <x:c r="I18" s="10"/>
      <x:c r="J18" s="10"/>
      <x:c r="K18" s="10"/>
      <x:c r="L18" s="10"/>
      <x:c r="M18" s="10"/>
      <x:c r="N18" s="10"/>
    </x:row>
    <x:row r="19" ht="56" customHeight="1">
      <x:c r="A19" s="165" t="str">
        <x:v>Stage 3: Specialist services</x:v>
      </x:c>
      <x:c r="B19" s="187" t="str">
        <x:v>Usable sample analysis or specialist deliverable accepted</x:v>
      </x:c>
      <x:c r="C19" s="361" t="n">
        <x:v>50000000</x:v>
      </x:c>
      <x:c r="D19" s="362" t="n">
        <x:v>0</x:v>
      </x:c>
      <x:c r="E19" s="362" t="n">
        <x:v>0</x:v>
      </x:c>
      <x:c r="F19" s="169" t="n">
        <x:f>C19*D19*E19</x:f>
        <x:v>0</x:v>
      </x:c>
      <x:c r="G19" s="170" t="str">
        <x:v>Request target is a hypothesis; release is zero until achieved and explicitly approved.</x:v>
      </x:c>
      <x:c r="H19" s="10"/>
      <x:c r="I19" s="10"/>
      <x:c r="J19" s="10"/>
      <x:c r="K19" s="10"/>
      <x:c r="L19" s="10"/>
      <x:c r="M19" s="10"/>
      <x:c r="N19" s="10"/>
    </x:row>
    <x:row r="20" ht="56" customHeight="1">
      <x:c r="A20" s="165" t="str">
        <x:v>Stage 4: Leases and remote sites</x:v>
      </x:c>
      <x:c r="B20" s="187" t="str">
        <x:v>Relay or outpost operating; evacuation route demonstrated</x:v>
      </x:c>
      <x:c r="C20" s="361" t="n">
        <x:v>100000000</x:v>
      </x:c>
      <x:c r="D20" s="362" t="n">
        <x:v>0</x:v>
      </x:c>
      <x:c r="E20" s="362" t="n">
        <x:v>0</x:v>
      </x:c>
      <x:c r="F20" s="169" t="n">
        <x:f>C20*D20*E20</x:f>
        <x:v>0</x:v>
      </x:c>
      <x:c r="G20" s="170" t="str">
        <x:v>Request target is a hypothesis; release is zero until achieved and explicitly approved.</x:v>
      </x:c>
      <x:c r="H20" s="10"/>
      <x:c r="I20" s="10"/>
      <x:c r="J20" s="10"/>
      <x:c r="K20" s="10"/>
      <x:c r="L20" s="10"/>
      <x:c r="M20" s="10"/>
      <x:c r="N20" s="10"/>
    </x:row>
    <x:row r="21" ht="56" customHeight="1">
      <x:c r="A21" s="165" t="str">
        <x:v>Stage 5: Large recovery and network work</x:v>
      </x:c>
      <x:c r="B21" s="187" t="str">
        <x:v>Town response or large recovery closed with staff and cargo reconciled</x:v>
      </x:c>
      <x:c r="C21" s="361" t="n">
        <x:v>250000000</x:v>
      </x:c>
      <x:c r="D21" s="362" t="n">
        <x:v>0</x:v>
      </x:c>
      <x:c r="E21" s="362" t="n">
        <x:v>0</x:v>
      </x:c>
      <x:c r="F21" s="169" t="n">
        <x:f>C21*D21*E21</x:f>
        <x:v>0</x:v>
      </x:c>
      <x:c r="G21" s="170" t="str">
        <x:v>Request target is a hypothesis; release is zero until achieved and explicitly approved.</x:v>
      </x:c>
      <x:c r="H21" s="10"/>
      <x:c r="I21" s="10"/>
      <x:c r="J21" s="10"/>
      <x:c r="K21" s="10"/>
      <x:c r="L21" s="10"/>
      <x:c r="M21" s="10"/>
      <x:c r="N21" s="10"/>
    </x:row>
    <x:row r="22" ht="56" customHeight="1">
      <x:c r="A22" s="165" t="str">
        <x:v>Stage 6: Vehicle and optional orbital support</x:v>
      </x:c>
      <x:c r="B22" s="187" t="str">
        <x:v>Transport or gravship logistics test completed with cargo records</x:v>
      </x:c>
      <x:c r="C22" s="361" t="n">
        <x:v>500000000</x:v>
      </x:c>
      <x:c r="D22" s="362" t="n">
        <x:v>0</x:v>
      </x:c>
      <x:c r="E22" s="362" t="n">
        <x:v>0</x:v>
      </x:c>
      <x:c r="F22" s="169" t="n">
        <x:f>C22*D22*E22</x:f>
        <x:v>0</x:v>
      </x:c>
      <x:c r="G22" s="170" t="str">
        <x:v>Request target is a hypothesis; release is zero until achieved and explicitly approved.</x:v>
      </x:c>
      <x:c r="H22" s="10"/>
      <x:c r="I22" s="10"/>
      <x:c r="J22" s="10"/>
      <x:c r="K22" s="10"/>
      <x:c r="L22" s="10"/>
      <x:c r="M22" s="10"/>
      <x:c r="N22" s="10"/>
    </x:row>
    <x:row r="23" ht="56" customHeight="1">
      <x:c r="A23" s="165" t="str">
        <x:v>Stage 7: Deep-site operations</x:v>
      </x:c>
      <x:c r="B23" s="187" t="str">
        <x:v>Deep-site objective returned with route and containment records</x:v>
      </x:c>
      <x:c r="C23" s="361" t="n">
        <x:v>1000000000</x:v>
      </x:c>
      <x:c r="D23" s="362" t="n">
        <x:v>0</x:v>
      </x:c>
      <x:c r="E23" s="362" t="n">
        <x:v>0</x:v>
      </x:c>
      <x:c r="F23" s="169" t="n">
        <x:f>C23*D23*E23</x:f>
        <x:v>0</x:v>
      </x:c>
      <x:c r="G23" s="170" t="str">
        <x:v>Request target is a hypothesis; release is zero until achieved and explicitly approved.</x:v>
      </x:c>
      <x:c r="H23" s="10"/>
      <x:c r="I23" s="10"/>
      <x:c r="J23" s="10"/>
      <x:c r="K23" s="10"/>
      <x:c r="L23" s="10"/>
      <x:c r="M23" s="10"/>
      <x:c r="N23" s="10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</x:row>
    <x:row r="25">
      <x:c r="A25" s="351" t="str">
        <x:v>No-contract recovery actions</x:v>
      </x:c>
      <x:c r="B25" s="351"/>
      <x:c r="C25" s="351"/>
      <x:c r="D25" s="351"/>
      <x:c r="E25" s="351"/>
      <x:c r="F25" s="351"/>
      <x:c r="G25" s="351"/>
      <x:c r="H25" s="351"/>
      <x:c r="I25" s="351"/>
      <x:c r="J25" s="351"/>
      <x:c r="K25" s="351"/>
      <x:c r="L25" s="351"/>
      <x:c r="M25" s="351"/>
      <x:c r="N25" s="351"/>
    </x:row>
    <x:row r="26">
      <x:c r="A26" s="52" t="str">
        <x:v>Recovery case keeps the selected payroll and HQ overhead, freezes unstarted hires and optional orders/dispatches, and pauses only site days that can legally or operationally be stopped. Enter committed costs before relying on the close.</x:v>
      </x:c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</x:row>
    <x:row r="27" ht="58" customHeight="1">
      <x:c r="A27" s="356" t="str">
        <x:v>Campaign stage</x:v>
      </x:c>
      <x:c r="B27" s="356" t="str">
        <x:v>Retained payroll headcount</x:v>
      </x:c>
      <x:c r="C27" s="356" t="str">
        <x:v>Specialists retained (FTE)</x:v>
      </x:c>
      <x:c r="D27" s="356" t="str">
        <x:v>Additional hires approved</x:v>
      </x:c>
      <x:c r="E27" s="356" t="str">
        <x:v>Outpost service days retained</x:v>
      </x:c>
      <x:c r="F27" s="356" t="str">
        <x:v>Extra facility lease days retained</x:v>
      </x:c>
      <x:c r="G27" s="356" t="str">
        <x:v>Survey-kit orders</x:v>
      </x:c>
      <x:c r="H27" s="356" t="str">
        <x:v>Research-material orders</x:v>
      </x:c>
      <x:c r="I27" s="356" t="str">
        <x:v>Transport runs</x:v>
      </x:c>
      <x:c r="J27" s="356" t="str">
        <x:v>Equipment replacement quote (USD)</x:v>
      </x:c>
      <x:c r="K27" s="356" t="str">
        <x:v>Cargo replacement purchases (USD)</x:v>
      </x:c>
      <x:c r="L27" s="356" t="str">
        <x:v>Security / maintenance quote (USD)</x:v>
      </x:c>
      <x:c r="M27" s="356" t="str">
        <x:v>Other committed quote (USD)</x:v>
      </x:c>
      <x:c r="N27" s="356" t="str">
        <x:v>Basis / status</x:v>
      </x:c>
    </x:row>
    <x:row r="28" ht="54" customHeight="1">
      <x:c r="A28" s="165" t="str">
        <x:v>Stage 1: First safe survey</x:v>
      </x:c>
      <x:c r="B28" s="362" t="n">
        <x:v>5</x:v>
      </x:c>
      <x:c r="C28" s="362" t="n">
        <x:v>0</x:v>
      </x:c>
      <x:c r="D28" s="362" t="n">
        <x:v>0</x:v>
      </x:c>
      <x:c r="E28" s="362" t="n">
        <x:v>0</x:v>
      </x:c>
      <x:c r="F28" s="362" t="n">
        <x:v>0</x:v>
      </x:c>
      <x:c r="G28" s="362" t="n">
        <x:v>0</x:v>
      </x:c>
      <x:c r="H28" s="362" t="n">
        <x:v>0</x:v>
      </x:c>
      <x:c r="I28" s="362" t="n">
        <x:v>0</x:v>
      </x:c>
      <x:c r="J28" s="361" t="n">
        <x:v>0</x:v>
      </x:c>
      <x:c r="K28" s="361" t="n">
        <x:v>0</x:v>
      </x:c>
      <x:c r="L28" s="361" t="n">
        <x:v>0</x:v>
      </x:c>
      <x:c r="M28" s="361" t="n">
        <x:v>0</x:v>
      </x:c>
      <x:c r="N28" s="170" t="str">
        <x:v>Editable response case. Headcount assumes unstarted hires can be deferred. Set retained days and quotes to actual non-cancelable commitments. Zero quotes are unpriced, not free.</x:v>
      </x:c>
    </x:row>
    <x:row r="29" ht="54" customHeight="1">
      <x:c r="A29" s="165" t="str">
        <x:v>Stage 2: Repeat access</x:v>
      </x:c>
      <x:c r="B29" s="362" t="n">
        <x:v>5</x:v>
      </x:c>
      <x:c r="C29" s="362" t="n">
        <x:v>0</x:v>
      </x:c>
      <x:c r="D29" s="362" t="n">
        <x:v>0</x:v>
      </x:c>
      <x:c r="E29" s="362" t="n">
        <x:v>0</x:v>
      </x:c>
      <x:c r="F29" s="362" t="n">
        <x:v>0</x:v>
      </x:c>
      <x:c r="G29" s="362" t="n">
        <x:v>0</x:v>
      </x:c>
      <x:c r="H29" s="362" t="n">
        <x:v>0</x:v>
      </x:c>
      <x:c r="I29" s="362" t="n">
        <x:v>0</x:v>
      </x:c>
      <x:c r="J29" s="361" t="n">
        <x:v>0</x:v>
      </x:c>
      <x:c r="K29" s="361" t="n">
        <x:v>0</x:v>
      </x:c>
      <x:c r="L29" s="361" t="n">
        <x:v>0</x:v>
      </x:c>
      <x:c r="M29" s="361" t="n">
        <x:v>0</x:v>
      </x:c>
      <x:c r="N29" s="170" t="str">
        <x:v>Editable response case. Headcount assumes unstarted hires can be deferred. Set retained days and quotes to actual non-cancelable commitments. Zero quotes are unpriced, not free.</x:v>
      </x:c>
    </x:row>
    <x:row r="30" ht="54" customHeight="1">
      <x:c r="A30" s="165" t="str">
        <x:v>Stage 3: Specialist services</x:v>
      </x:c>
      <x:c r="B30" s="362" t="n">
        <x:v>5</x:v>
      </x:c>
      <x:c r="C30" s="362" t="n">
        <x:v>0</x:v>
      </x:c>
      <x:c r="D30" s="362" t="n">
        <x:v>0</x:v>
      </x:c>
      <x:c r="E30" s="362" t="n">
        <x:v>0</x:v>
      </x:c>
      <x:c r="F30" s="362" t="n">
        <x:v>0</x:v>
      </x:c>
      <x:c r="G30" s="362" t="n">
        <x:v>0</x:v>
      </x:c>
      <x:c r="H30" s="362" t="n">
        <x:v>0</x:v>
      </x:c>
      <x:c r="I30" s="362" t="n">
        <x:v>0</x:v>
      </x:c>
      <x:c r="J30" s="361" t="n">
        <x:v>0</x:v>
      </x:c>
      <x:c r="K30" s="361" t="n">
        <x:v>0</x:v>
      </x:c>
      <x:c r="L30" s="361" t="n">
        <x:v>0</x:v>
      </x:c>
      <x:c r="M30" s="361" t="n">
        <x:v>0</x:v>
      </x:c>
      <x:c r="N30" s="170" t="str">
        <x:v>Editable response case. Headcount assumes unstarted hires can be deferred. Set retained days and quotes to actual non-cancelable commitments. Zero quotes are unpriced, not free.</x:v>
      </x:c>
    </x:row>
    <x:row r="31" ht="54" customHeight="1">
      <x:c r="A31" s="165" t="str">
        <x:v>Stage 4: Leases and remote sites</x:v>
      </x:c>
      <x:c r="B31" s="362" t="n">
        <x:v>7</x:v>
      </x:c>
      <x:c r="C31" s="362" t="n">
        <x:v>0</x:v>
      </x:c>
      <x:c r="D31" s="362" t="n">
        <x:v>0</x:v>
      </x:c>
      <x:c r="E31" s="362" t="n">
        <x:v>0</x:v>
      </x:c>
      <x:c r="F31" s="362" t="n">
        <x:v>0</x:v>
      </x:c>
      <x:c r="G31" s="362" t="n">
        <x:v>0</x:v>
      </x:c>
      <x:c r="H31" s="362" t="n">
        <x:v>0</x:v>
      </x:c>
      <x:c r="I31" s="362" t="n">
        <x:v>0</x:v>
      </x:c>
      <x:c r="J31" s="361" t="n">
        <x:v>0</x:v>
      </x:c>
      <x:c r="K31" s="361" t="n">
        <x:v>0</x:v>
      </x:c>
      <x:c r="L31" s="361" t="n">
        <x:v>0</x:v>
      </x:c>
      <x:c r="M31" s="361" t="n">
        <x:v>0</x:v>
      </x:c>
      <x:c r="N31" s="170" t="str">
        <x:v>Editable response case. Headcount assumes unstarted hires can be deferred. Set retained days and quotes to actual non-cancelable commitments. Zero quotes are unpriced, not free.</x:v>
      </x:c>
    </x:row>
    <x:row r="32" ht="54" customHeight="1">
      <x:c r="A32" s="165" t="str">
        <x:v>Stage 5: Large recovery and network work</x:v>
      </x:c>
      <x:c r="B32" s="362" t="n">
        <x:v>8</x:v>
      </x:c>
      <x:c r="C32" s="362" t="n">
        <x:v>0</x:v>
      </x:c>
      <x:c r="D32" s="362" t="n">
        <x:v>0</x:v>
      </x:c>
      <x:c r="E32" s="362" t="n">
        <x:v>0</x:v>
      </x:c>
      <x:c r="F32" s="362" t="n">
        <x:v>0</x:v>
      </x:c>
      <x:c r="G32" s="362" t="n">
        <x:v>0</x:v>
      </x:c>
      <x:c r="H32" s="362" t="n">
        <x:v>0</x:v>
      </x:c>
      <x:c r="I32" s="362" t="n">
        <x:v>0</x:v>
      </x:c>
      <x:c r="J32" s="361" t="n">
        <x:v>0</x:v>
      </x:c>
      <x:c r="K32" s="361" t="n">
        <x:v>0</x:v>
      </x:c>
      <x:c r="L32" s="361" t="n">
        <x:v>0</x:v>
      </x:c>
      <x:c r="M32" s="361" t="n">
        <x:v>0</x:v>
      </x:c>
      <x:c r="N32" s="170" t="str">
        <x:v>Editable response case. Headcount assumes unstarted hires can be deferred. Set retained days and quotes to actual non-cancelable commitments. Zero quotes are unpriced, not free.</x:v>
      </x:c>
    </x:row>
    <x:row r="33" ht="54" customHeight="1">
      <x:c r="A33" s="165" t="str">
        <x:v>Stage 6: Vehicle and optional orbital support</x:v>
      </x:c>
      <x:c r="B33" s="362" t="n">
        <x:v>10</x:v>
      </x:c>
      <x:c r="C33" s="362" t="n">
        <x:v>0</x:v>
      </x:c>
      <x:c r="D33" s="362" t="n">
        <x:v>0</x:v>
      </x:c>
      <x:c r="E33" s="362" t="n">
        <x:v>0</x:v>
      </x:c>
      <x:c r="F33" s="362" t="n">
        <x:v>0</x:v>
      </x:c>
      <x:c r="G33" s="362" t="n">
        <x:v>0</x:v>
      </x:c>
      <x:c r="H33" s="362" t="n">
        <x:v>0</x:v>
      </x:c>
      <x:c r="I33" s="362" t="n">
        <x:v>0</x:v>
      </x:c>
      <x:c r="J33" s="361" t="n">
        <x:v>0</x:v>
      </x:c>
      <x:c r="K33" s="361" t="n">
        <x:v>0</x:v>
      </x:c>
      <x:c r="L33" s="361" t="n">
        <x:v>0</x:v>
      </x:c>
      <x:c r="M33" s="361" t="n">
        <x:v>0</x:v>
      </x:c>
      <x:c r="N33" s="170" t="str">
        <x:v>Editable response case. Headcount assumes unstarted hires can be deferred. Set retained days and quotes to actual non-cancelable commitments. Zero quotes are unpriced, not free.</x:v>
      </x:c>
    </x:row>
    <x:row r="34" ht="54" customHeight="1">
      <x:c r="A34" s="165" t="str">
        <x:v>Stage 7: Deep-site operations</x:v>
      </x:c>
      <x:c r="B34" s="362" t="n">
        <x:v>10</x:v>
      </x:c>
      <x:c r="C34" s="362" t="n">
        <x:v>0</x:v>
      </x:c>
      <x:c r="D34" s="362" t="n">
        <x:v>0</x:v>
      </x:c>
      <x:c r="E34" s="362" t="n">
        <x:v>0</x:v>
      </x:c>
      <x:c r="F34" s="362" t="n">
        <x:v>0</x:v>
      </x:c>
      <x:c r="G34" s="362" t="n">
        <x:v>0</x:v>
      </x:c>
      <x:c r="H34" s="362" t="n">
        <x:v>0</x:v>
      </x:c>
      <x:c r="I34" s="362" t="n">
        <x:v>0</x:v>
      </x:c>
      <x:c r="J34" s="361" t="n">
        <x:v>0</x:v>
      </x:c>
      <x:c r="K34" s="361" t="n">
        <x:v>0</x:v>
      </x:c>
      <x:c r="L34" s="361" t="n">
        <x:v>0</x:v>
      </x:c>
      <x:c r="M34" s="361" t="n">
        <x:v>0</x:v>
      </x:c>
      <x:c r="N34" s="170" t="str">
        <x:v>Editable response case. Headcount assumes unstarted hires can be deferred. Set retained days and quotes to actual non-cancelable commitments. Zero quotes are unpriced, not free.</x:v>
      </x:c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</x:row>
    <x:row r="36">
      <x:c r="A36" s="351" t="str">
        <x:v>Monthly stage case bridge (USD)</x:v>
      </x:c>
      <x:c r="B36" s="351"/>
      <x:c r="C36" s="351"/>
      <x:c r="D36" s="351"/>
      <x:c r="E36" s="351"/>
      <x:c r="F36" s="351"/>
      <x:c r="G36" s="351"/>
      <x:c r="H36" s="351"/>
      <x:c r="I36" s="351"/>
      <x:c r="J36" s="351"/>
      <x:c r="K36" s="351"/>
      <x:c r="L36" s="351"/>
      <x:c r="M36" s="351"/>
      <x:c r="N36" s="351"/>
    </x:row>
    <x:row r="37">
      <x:c r="A37" s="52" t="str">
        <x:v>No-new-contract removes contract receipts. Delivered services, earned leases, and accepted claims count only when entered. Recovery applies actual commitments above and below; funding needs both milestone completion and explicit approval.</x:v>
      </x:c>
      <x:c r="B37" s="52"/>
      <x:c r="C37" s="52"/>
      <x:c r="D37" s="52"/>
      <x:c r="E37" s="52"/>
      <x:c r="F37" s="52"/>
      <x:c r="G37" s="52"/>
      <x:c r="H37" s="52"/>
      <x:c r="I37" s="52"/>
      <x:c r="J37" s="52"/>
      <x:c r="K37" s="10"/>
      <x:c r="L37" s="10"/>
      <x:c r="M37" s="10"/>
      <x:c r="N37" s="10"/>
    </x:row>
    <x:row r="38" ht="50" customHeight="1">
      <x:c r="A38" s="356" t="str">
        <x:v>Campaign stage</x:v>
      </x:c>
      <x:c r="B38" s="356" t="str">
        <x:v>Opening balance on base path</x:v>
      </x:c>
      <x:c r="C38" s="356" t="str">
        <x:v>Planned receipts: contracts + services + leases + claims</x:v>
      </x:c>
      <x:c r="D38" s="356" t="str">
        <x:v>Planned costs, including risk/long-run quotes</x:v>
      </x:c>
      <x:c r="E38" s="356" t="str">
        <x:v>No-new-contract month close</x:v>
      </x:c>
      <x:c r="F38" s="356" t="str">
        <x:v>Recovery case costs</x:v>
      </x:c>
      <x:c r="G38" s="356" t="str">
        <x:v>Recovery close before funding</x:v>
      </x:c>
      <x:c r="H38" s="356" t="str">
        <x:v>Approved milestone release</x:v>
      </x:c>
      <x:c r="I38" s="356" t="str">
        <x:v>Recovery close after funding</x:v>
      </x:c>
      <x:c r="J38" s="356" t="str">
        <x:v>Change vs no-contract close</x:v>
      </x:c>
      <x:c r="K38" s="353"/>
      <x:c r="L38" s="353"/>
      <x:c r="M38" s="353"/>
      <x:c r="N38" s="353"/>
    </x:row>
    <x:row r="39" ht="28" customHeight="1">
      <x:c r="A39" s="165" t="str">
        <x:v>Stage 1: First safe survey</x:v>
      </x:c>
      <x:c r="B39" s="169" t="n">
        <x:f>'Economy'!$C$31</x:f>
        <x:v>50000000</x:v>
      </x:c>
      <x:c r="C39" s="169" t="n">
        <x:f>SUM('Economy'!$B$8:$B$9)+'Extended Cases'!$D$7+'Extended Cases'!$G$7+'Extended Cases'!$R$7</x:f>
        <x:v>5000000</x:v>
      </x:c>
      <x:c r="D39" s="169" t="n">
        <x:f>SUM('Economy'!$B$10:$B$18)+'Economy'!$B$27</x:f>
        <x:v>-1500000</x:v>
      </x:c>
      <x:c r="E39" s="177" t="n">
        <x:f>B39+D39+'Extended Cases'!$D$7+'Extended Cases'!$G$7+'Extended Cases'!$P$7</x:f>
        <x:v>48500000</x:v>
      </x:c>
      <x:c r="F39" s="177" t="n">
        <x:f>-(B28+D28)*'Economy'!$C$34*'Economy'!$C$32-'Economy'!$C$35*'Economy'!$C$32-(B28+D28)*'Economy'!$C$37*'Economy'!$C$32-D28*'Economy'!$C$45-E28*'Economy'!$C$51-F28*'Economy'!$C$53-G28*'Economy'!$C$47-H28*'Economy'!$C$49-C28*'Recovery &amp; Capital'!$C$7*'Economy'!$C$32-I28*'Recovery &amp; Capital'!$E$7-J28-K28-L28-M28-'Extended Cases'!$S$40</x:f>
        <x:v>-1500000</x:v>
      </x:c>
      <x:c r="G39" s="177" t="n">
        <x:f>B39+F39+'Extended Cases'!$T$40</x:f>
        <x:v>48500000</x:v>
      </x:c>
      <x:c r="H39" s="177" t="n">
        <x:f>'Recovery &amp; Capital'!$F$17</x:f>
        <x:v>0</x:v>
      </x:c>
      <x:c r="I39" s="177" t="n">
        <x:f>G39+H39</x:f>
        <x:v>48500000</x:v>
      </x:c>
      <x:c r="J39" s="177" t="n">
        <x:f>I39-E39</x:f>
        <x:v>0</x:v>
      </x:c>
      <x:c r="K39" s="10"/>
      <x:c r="L39" s="10"/>
      <x:c r="M39" s="10"/>
      <x:c r="N39" s="10"/>
    </x:row>
    <x:row r="40" ht="28" customHeight="1">
      <x:c r="A40" s="165" t="str">
        <x:v>Stage 2: Repeat access</x:v>
      </x:c>
      <x:c r="B40" s="169" t="n">
        <x:f>'Campaign Scenarios'!$B$8</x:f>
        <x:v>53500000</x:v>
      </x:c>
      <x:c r="C40" s="169" t="n">
        <x:f>'Campaign Scenarios'!$C$44+'Extended Cases'!$D$8+'Extended Cases'!$G$8+'Extended Cases'!$R$8</x:f>
        <x:v>5000000</x:v>
      </x:c>
      <x:c r="D40" s="169" t="n">
        <x:f>SUM('Campaign Scenarios'!$C$45:$C$53)-'Recovery &amp; Capital'!$I$8</x:f>
        <x:v>-2250000</x:v>
      </x:c>
      <x:c r="E40" s="177" t="n">
        <x:f>B40+D40+'Extended Cases'!$D$8+'Extended Cases'!$G$8+'Extended Cases'!$P$8</x:f>
        <x:v>51250000</x:v>
      </x:c>
      <x:c r="F40" s="177" t="n">
        <x:f>-(B29+D29)*'Campaign Scenarios'!$B$18*'Campaign Scenarios'!$C$32-'Campaign Scenarios'!$B$19*'Campaign Scenarios'!$C$32-(B29+D29)*'Campaign Scenarios'!$B$20*'Campaign Scenarios'!$C$32-D29*'Campaign Scenarios'!$B$21-E29*'Campaign Scenarios'!$B$22-F29*'Campaign Scenarios'!$B$23-G29*'Campaign Scenarios'!$B$24-H29*'Campaign Scenarios'!$B$25-C29*'Recovery &amp; Capital'!$C$8*'Campaign Scenarios'!$C$32-I29*'Recovery &amp; Capital'!$E$8-J29-K29-L29-M29-'Extended Cases'!$S$41</x:f>
        <x:v>-1500000</x:v>
      </x:c>
      <x:c r="G40" s="177" t="n">
        <x:f>B40+F40+'Extended Cases'!$T$41</x:f>
        <x:v>52000000</x:v>
      </x:c>
      <x:c r="H40" s="177" t="n">
        <x:f>'Recovery &amp; Capital'!$F$18</x:f>
        <x:v>0</x:v>
      </x:c>
      <x:c r="I40" s="177" t="n">
        <x:f>G40+H40</x:f>
        <x:v>52000000</x:v>
      </x:c>
      <x:c r="J40" s="177" t="n">
        <x:f>I40-E40</x:f>
        <x:v>750000</x:v>
      </x:c>
      <x:c r="K40" s="10"/>
      <x:c r="L40" s="10"/>
      <x:c r="M40" s="10"/>
      <x:c r="N40" s="10"/>
    </x:row>
    <x:row r="41" ht="28" customHeight="1">
      <x:c r="A41" s="165" t="str">
        <x:v>Stage 3: Specialist services</x:v>
      </x:c>
      <x:c r="B41" s="169" t="n">
        <x:f>'Campaign Scenarios'!$B$9</x:f>
        <x:v>56250000</x:v>
      </x:c>
      <x:c r="C41" s="169" t="n">
        <x:f>'Campaign Scenarios'!$C$74+'Extended Cases'!$D$9+'Extended Cases'!$G$9+'Extended Cases'!$R$9</x:f>
        <x:v>30000000</x:v>
      </x:c>
      <x:c r="D41" s="169" t="n">
        <x:f>SUM('Campaign Scenarios'!$C$75:$C$83)-'Recovery &amp; Capital'!$I$9</x:f>
        <x:v>-4750000</x:v>
      </x:c>
      <x:c r="E41" s="177" t="n">
        <x:f>B41+D41+'Extended Cases'!$D$9+'Extended Cases'!$G$9+'Extended Cases'!$P$9</x:f>
        <x:v>51500000</x:v>
      </x:c>
      <x:c r="F41" s="177" t="n">
        <x:f>-(B30+D30)*'Campaign Scenarios'!$B$18*'Campaign Scenarios'!$C$62-'Campaign Scenarios'!$B$19*'Campaign Scenarios'!$C$62-(B30+D30)*'Campaign Scenarios'!$B$20*'Campaign Scenarios'!$C$62-D30*'Campaign Scenarios'!$B$21-E30*'Campaign Scenarios'!$B$22-F30*'Campaign Scenarios'!$B$23-G30*'Campaign Scenarios'!$B$24-H30*'Campaign Scenarios'!$B$25-C30*'Recovery &amp; Capital'!$C$9*'Campaign Scenarios'!$C$62-I30*'Recovery &amp; Capital'!$E$9-J30-K30-L30-M30-'Extended Cases'!$S$42</x:f>
        <x:v>-1500000</x:v>
      </x:c>
      <x:c r="G41" s="177" t="n">
        <x:f>B41+F41+'Extended Cases'!$T$42</x:f>
        <x:v>54750000</x:v>
      </x:c>
      <x:c r="H41" s="177" t="n">
        <x:f>'Recovery &amp; Capital'!$F$19</x:f>
        <x:v>0</x:v>
      </x:c>
      <x:c r="I41" s="177" t="n">
        <x:f>G41+H41</x:f>
        <x:v>54750000</x:v>
      </x:c>
      <x:c r="J41" s="177" t="n">
        <x:f>I41-E41</x:f>
        <x:v>3250000</x:v>
      </x:c>
      <x:c r="K41" s="10"/>
      <x:c r="L41" s="10"/>
      <x:c r="M41" s="10"/>
      <x:c r="N41" s="10"/>
    </x:row>
    <x:row r="42" ht="28" customHeight="1">
      <x:c r="A42" s="165" t="str">
        <x:v>Stage 4: Leases and remote sites</x:v>
      </x:c>
      <x:c r="B42" s="169" t="n">
        <x:f>'Campaign Scenarios'!$B$10</x:f>
        <x:v>81500000</x:v>
      </x:c>
      <x:c r="C42" s="169" t="n">
        <x:f>'Campaign Scenarios'!$C$104+'Extended Cases'!$D$10+'Extended Cases'!$G$10+'Extended Cases'!$R$10</x:f>
        <x:v>100000000</x:v>
      </x:c>
      <x:c r="D42" s="169" t="n">
        <x:f>SUM('Campaign Scenarios'!$C$105:$C$113)-'Recovery &amp; Capital'!$I$10</x:f>
        <x:v>-12300000</x:v>
      </x:c>
      <x:c r="E42" s="177" t="n">
        <x:f>B42+D42+'Extended Cases'!$D$10+'Extended Cases'!$G$10+'Extended Cases'!$P$10</x:f>
        <x:v>69200000</x:v>
      </x:c>
      <x:c r="F42" s="177" t="n">
        <x:f>-(B31+D31)*'Campaign Scenarios'!$B$18*'Campaign Scenarios'!$C$92-'Campaign Scenarios'!$B$19*'Campaign Scenarios'!$C$92-(B31+D31)*'Campaign Scenarios'!$B$20*'Campaign Scenarios'!$C$92-D31*'Campaign Scenarios'!$B$21-E31*'Campaign Scenarios'!$B$22-F31*'Campaign Scenarios'!$B$23-G31*'Campaign Scenarios'!$B$24-H31*'Campaign Scenarios'!$B$25-C31*'Recovery &amp; Capital'!$C$10*'Campaign Scenarios'!$C$92-I31*'Recovery &amp; Capital'!$E$10-J31-K31-L31-M31-'Extended Cases'!$S$43</x:f>
        <x:v>-1800000</x:v>
      </x:c>
      <x:c r="G42" s="177" t="n">
        <x:f>B42+F42+'Extended Cases'!$T$43</x:f>
        <x:v>79700000</x:v>
      </x:c>
      <x:c r="H42" s="177" t="n">
        <x:f>'Recovery &amp; Capital'!$F$20</x:f>
        <x:v>0</x:v>
      </x:c>
      <x:c r="I42" s="177" t="n">
        <x:f>G42+H42</x:f>
        <x:v>79700000</x:v>
      </x:c>
      <x:c r="J42" s="177" t="n">
        <x:f>I42-E42</x:f>
        <x:v>10500000</x:v>
      </x:c>
      <x:c r="K42" s="10"/>
      <x:c r="L42" s="10"/>
      <x:c r="M42" s="10"/>
      <x:c r="N42" s="10"/>
    </x:row>
    <x:row r="43" ht="28" customHeight="1">
      <x:c r="A43" s="165" t="str">
        <x:v>Stage 5: Large recovery and network work</x:v>
      </x:c>
      <x:c r="B43" s="169" t="n">
        <x:f>'Campaign Scenarios'!$B$11</x:f>
        <x:v>169200000</x:v>
      </x:c>
      <x:c r="C43" s="169" t="n">
        <x:f>'Campaign Scenarios'!$C$134+'Extended Cases'!$D$11+'Extended Cases'!$G$11+'Extended Cases'!$R$11</x:f>
        <x:v>375000000</x:v>
      </x:c>
      <x:c r="D43" s="169" t="n">
        <x:f>SUM('Campaign Scenarios'!$C$135:$C$143)-'Recovery &amp; Capital'!$I$11</x:f>
        <x:v>-25450000</x:v>
      </x:c>
      <x:c r="E43" s="177" t="n">
        <x:f>B43+D43+'Extended Cases'!$D$11+'Extended Cases'!$G$11+'Extended Cases'!$P$11</x:f>
        <x:v>143750000</x:v>
      </x:c>
      <x:c r="F43" s="177" t="n">
        <x:f>-(B32+D32)*'Campaign Scenarios'!$B$18*'Campaign Scenarios'!$C$122-'Campaign Scenarios'!$B$19*'Campaign Scenarios'!$C$122-(B32+D32)*'Campaign Scenarios'!$B$20*'Campaign Scenarios'!$C$122-D32*'Campaign Scenarios'!$B$21-E32*'Campaign Scenarios'!$B$22-F32*'Campaign Scenarios'!$B$23-G32*'Campaign Scenarios'!$B$24-H32*'Campaign Scenarios'!$B$25-C32*'Recovery &amp; Capital'!$C$11*'Campaign Scenarios'!$C$122-I32*'Recovery &amp; Capital'!$E$11-J32-K32-L32-M32-'Extended Cases'!$S$44</x:f>
        <x:v>-1950000</x:v>
      </x:c>
      <x:c r="G43" s="177" t="n">
        <x:f>B43+F43+'Extended Cases'!$T$44</x:f>
        <x:v>167250000</x:v>
      </x:c>
      <x:c r="H43" s="177" t="n">
        <x:f>'Recovery &amp; Capital'!$F$21</x:f>
        <x:v>0</x:v>
      </x:c>
      <x:c r="I43" s="177" t="n">
        <x:f>G43+H43</x:f>
        <x:v>167250000</x:v>
      </x:c>
      <x:c r="J43" s="177" t="n">
        <x:f>I43-E43</x:f>
        <x:v>23500000</x:v>
      </x:c>
      <x:c r="K43" s="10"/>
      <x:c r="L43" s="10"/>
      <x:c r="M43" s="10"/>
      <x:c r="N43" s="10"/>
    </x:row>
    <x:row r="44" ht="28" customHeight="1">
      <x:c r="A44" s="165" t="str">
        <x:v>Stage 6: Vehicle and optional orbital support</x:v>
      </x:c>
      <x:c r="B44" s="169" t="n">
        <x:f>'Campaign Scenarios'!$B$12</x:f>
        <x:v>518750000</x:v>
      </x:c>
      <x:c r="C44" s="169" t="n">
        <x:f>'Campaign Scenarios'!$C$164+'Extended Cases'!$D$12+'Extended Cases'!$G$12+'Extended Cases'!$R$12</x:f>
        <x:v>750000000</x:v>
      </x:c>
      <x:c r="D44" s="169" t="n">
        <x:f>SUM('Campaign Scenarios'!$C$165:$C$173)-'Recovery &amp; Capital'!$I$12</x:f>
        <x:v>-65250000</x:v>
      </x:c>
      <x:c r="E44" s="177" t="n">
        <x:f>B44+D44+'Extended Cases'!$D$12+'Extended Cases'!$G$12+'Extended Cases'!$P$12</x:f>
        <x:v>453500000</x:v>
      </x:c>
      <x:c r="F44" s="177" t="n">
        <x:f>-(B33+D33)*'Campaign Scenarios'!$B$18*'Campaign Scenarios'!$C$152-'Campaign Scenarios'!$B$19*'Campaign Scenarios'!$C$152-(B33+D33)*'Campaign Scenarios'!$B$20*'Campaign Scenarios'!$C$152-D33*'Campaign Scenarios'!$B$21-E33*'Campaign Scenarios'!$B$22-F33*'Campaign Scenarios'!$B$23-G33*'Campaign Scenarios'!$B$24-H33*'Campaign Scenarios'!$B$25-C33*'Recovery &amp; Capital'!$C$12*'Campaign Scenarios'!$C$152-I33*'Recovery &amp; Capital'!$E$12-J33-K33-L33-M33-'Extended Cases'!$S$45</x:f>
        <x:v>-2250000</x:v>
      </x:c>
      <x:c r="G44" s="177" t="n">
        <x:f>B44+F44+'Extended Cases'!$T$45</x:f>
        <x:v>516500000</x:v>
      </x:c>
      <x:c r="H44" s="177" t="n">
        <x:f>'Recovery &amp; Capital'!$F$22</x:f>
        <x:v>0</x:v>
      </x:c>
      <x:c r="I44" s="177" t="n">
        <x:f>G44+H44</x:f>
        <x:v>516500000</x:v>
      </x:c>
      <x:c r="J44" s="177" t="n">
        <x:f>I44-E44</x:f>
        <x:v>63000000</x:v>
      </x:c>
      <x:c r="K44" s="10"/>
      <x:c r="L44" s="10"/>
      <x:c r="M44" s="10"/>
      <x:c r="N44" s="10"/>
    </x:row>
    <x:row r="45" ht="28" customHeight="1">
      <x:c r="A45" s="165" t="str">
        <x:v>Stage 7: Deep-site operations</x:v>
      </x:c>
      <x:c r="B45" s="169" t="n">
        <x:f>'Campaign Scenarios'!$B$13</x:f>
        <x:v>1203500000</x:v>
      </x:c>
      <x:c r="C45" s="169" t="n">
        <x:f>'Campaign Scenarios'!$C$194+'Extended Cases'!$D$13+'Extended Cases'!$G$13+'Extended Cases'!$R$13</x:f>
        <x:v>1200000000</x:v>
      </x:c>
      <x:c r="D45" s="169" t="n">
        <x:f>SUM('Campaign Scenarios'!$C$195:$C$203)-'Recovery &amp; Capital'!$I$13</x:f>
        <x:v>-118500000</x:v>
      </x:c>
      <x:c r="E45" s="177" t="n">
        <x:f>B45+D45+'Extended Cases'!$D$13+'Extended Cases'!$G$13+'Extended Cases'!$P$13</x:f>
        <x:v>1085000000</x:v>
      </x:c>
      <x:c r="F45" s="177" t="n">
        <x:f>-(B34+D34)*'Campaign Scenarios'!$B$18*'Campaign Scenarios'!$C$182-'Campaign Scenarios'!$B$19*'Campaign Scenarios'!$C$182-(B34+D34)*'Campaign Scenarios'!$B$20*'Campaign Scenarios'!$C$182-D34*'Campaign Scenarios'!$B$21-E34*'Campaign Scenarios'!$B$22-F34*'Campaign Scenarios'!$B$23-G34*'Campaign Scenarios'!$B$24-H34*'Campaign Scenarios'!$B$25-C34*'Recovery &amp; Capital'!$C$13*'Campaign Scenarios'!$C$182-I34*'Recovery &amp; Capital'!$E$13-J34-K34-L34-M34-'Extended Cases'!$S$46</x:f>
        <x:v>-2250000</x:v>
      </x:c>
      <x:c r="G45" s="177" t="n">
        <x:f>B45+F45+'Extended Cases'!$T$46</x:f>
        <x:v>1201250000</x:v>
      </x:c>
      <x:c r="H45" s="177" t="n">
        <x:f>'Recovery &amp; Capital'!$F$23</x:f>
        <x:v>0</x:v>
      </x:c>
      <x:c r="I45" s="177" t="n">
        <x:f>G45+H45</x:f>
        <x:v>1201250000</x:v>
      </x:c>
      <x:c r="J45" s="177" t="n">
        <x:f>I45-E45</x:f>
        <x:v>116250000</x:v>
      </x:c>
      <x:c r="K45" s="10"/>
      <x:c r="L45" s="10"/>
      <x:c r="M45" s="10"/>
      <x:c r="N45" s="10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</x:sheetData>
  <x:dataValidations count="1">
    <x:dataValidation type="list" sqref="D17:E23">
      <x:formula1>"0,1"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20" hidden="0" customWidth="1"/>
    <x:col min="4" max="4" width="17" hidden="0" customWidth="1"/>
    <x:col min="5" max="5" width="17" hidden="0" customWidth="1"/>
    <x:col min="6" max="6" width="20" hidden="0" customWidth="1"/>
    <x:col min="7" max="7" width="17" hidden="0" customWidth="1"/>
    <x:col min="8" max="8" width="18" hidden="0" customWidth="1"/>
    <x:col min="9" max="9" width="20" hidden="0" customWidth="1"/>
    <x:col min="10" max="10" width="21" hidden="0" customWidth="1"/>
    <x:col min="11" max="11" width="18" hidden="0" customWidth="1"/>
    <x:col min="12" max="12" width="38" hidden="0" customWidth="1"/>
    <x:col min="13" max="13" width="36" hidden="0" customWidth="1"/>
    <x:col min="14" max="14" width="18" hidden="0" customWidth="1"/>
    <x:col min="15" max="15" width="23" hidden="0" customWidth="1"/>
    <x:col min="16" max="16" width="23" hidden="0" customWidth="1"/>
    <x:col min="17" max="17" width="24" hidden="0" customWidth="1"/>
    <x:col min="18" max="18" width="22" hidden="0" customWidth="1"/>
    <x:col min="19" max="19" width="48" hidden="0" customWidth="1"/>
    <x:col min="20" max="20" width="21" hidden="0" customWidth="1"/>
    <x:col min="21" max="21" width="50" hidden="0" customWidth="1"/>
  </x:cols>
  <x:sheetData>
    <x:row r="1">
      <x:c r="A1" s="10"/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</x:row>
    <x:row r="2">
      <x:c r="A2" s="163" t="str">
        <x:v>Rimrooms - Async Industries: extended economy cases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</x:row>
    <x:row r="3" ht="22" customHeight="1">
      <x:c r="A3" s="251" t="str">
        <x:v>Editable pre-code hypotheses, default zero. Only accepted/delivered work, earned leases, signed penalties, and approved claims post; goods and vehicles remain physical inventory.</x:v>
      </x:c>
      <x:c r="B3" s="251"/>
      <x:c r="C3" s="251"/>
      <x:c r="D3" s="251"/>
      <x:c r="E3" s="251"/>
      <x:c r="F3" s="251"/>
      <x:c r="G3" s="251"/>
      <x:c r="H3" s="251"/>
      <x:c r="I3" s="251"/>
      <x:c r="J3" s="251"/>
      <x:c r="K3" s="251"/>
      <x:c r="L3" s="251"/>
      <x:c r="M3" s="251"/>
      <x:c r="N3" s="251"/>
      <x:c r="O3" s="251"/>
      <x:c r="P3" s="251"/>
      <x:c r="Q3" s="251"/>
      <x:c r="R3" s="251"/>
      <x:c r="S3" s="251"/>
      <x:c r="T3" s="10"/>
      <x:c r="U3" s="10"/>
    </x:row>
    <x:row r="4" ht="24" customHeight="1">
      <x:c r="A4" s="251" t="str">
        <x:v>Optional VGE costs are scenarios, not a dependency. Expedition extension costs are added beyond the monthly base horizon. Enter only incremental amounts; do not double-count costs already entered on the other workbook sheets.</x:v>
      </x:c>
      <x:c r="B4" s="251"/>
      <x:c r="C4" s="251"/>
      <x:c r="D4" s="251"/>
      <x:c r="E4" s="251"/>
      <x:c r="F4" s="251"/>
      <x:c r="G4" s="251"/>
      <x:c r="H4" s="251"/>
      <x:c r="I4" s="251"/>
      <x:c r="J4" s="251"/>
      <x:c r="K4" s="251"/>
      <x:c r="L4" s="251"/>
      <x:c r="M4" s="251"/>
      <x:c r="N4" s="251"/>
      <x:c r="O4" s="251"/>
      <x:c r="P4" s="251"/>
      <x:c r="Q4" s="251"/>
      <x:c r="R4" s="251"/>
      <x:c r="S4" s="251"/>
      <x:c r="T4" s="10"/>
      <x:c r="U4" s="10"/>
    </x:row>
    <x:row r="5">
      <x:c r="A5" s="351" t="str">
        <x:v>Separate receipts, capped penalties, and cargo incidents</x:v>
      </x:c>
      <x:c r="B5" s="351"/>
      <x:c r="C5" s="351"/>
      <x:c r="D5" s="351"/>
      <x:c r="E5" s="351"/>
      <x:c r="F5" s="351"/>
      <x:c r="G5" s="351"/>
      <x:c r="H5" s="351"/>
      <x:c r="I5" s="351"/>
      <x:c r="J5" s="351"/>
      <x:c r="K5" s="351"/>
      <x:c r="L5" s="351"/>
      <x:c r="M5" s="351"/>
      <x:c r="N5" s="351"/>
      <x:c r="O5" s="351"/>
      <x:c r="P5" s="351"/>
      <x:c r="Q5" s="351"/>
      <x:c r="R5" s="351"/>
      <x:c r="S5" s="351"/>
      <x:c r="T5" s="10"/>
      <x:c r="U5" s="10"/>
    </x:row>
    <x:row r="6" ht="62" customHeight="1">
      <x:c r="A6" s="353" t="str">
        <x:v>Campaign stage</x:v>
      </x:c>
      <x:c r="B6" s="353" t="str">
        <x:v>Separate service deliveries / month</x:v>
      </x:c>
      <x:c r="C6" s="353" t="str">
        <x:v>Receipt per accepted service (USD)</x:v>
      </x:c>
      <x:c r="D6" s="353" t="str">
        <x:v>Service receipts (USD)</x:v>
      </x:c>
      <x:c r="E6" s="353" t="str">
        <x:v>Billable lease days</x:v>
      </x:c>
      <x:c r="F6" s="353" t="str">
        <x:v>Receipt per earned day (USD)</x:v>
      </x:c>
      <x:c r="G6" s="353" t="str">
        <x:v>Lease receipts (USD)</x:v>
      </x:c>
      <x:c r="H6" s="353" t="str">
        <x:v>Contracts with penalty due</x:v>
      </x:c>
      <x:c r="I6" s="353" t="str">
        <x:v>Claimed penalty per contract (USD)</x:v>
      </x:c>
      <x:c r="J6" s="353" t="str">
        <x:v>Average accepted contract value cap basis (USD)</x:v>
      </x:c>
      <x:c r="K6" s="353" t="str">
        <x:v>Penalty after 25% cap (USD)</x:v>
      </x:c>
      <x:c r="L6" s="353" t="str">
        <x:v>Cargo/crew incident count</x:v>
      </x:c>
      <x:c r="M6" s="353" t="str">
        <x:v>Response/rescue per incident (USD)</x:v>
      </x:c>
      <x:c r="N6" s="353" t="str">
        <x:v>Incident response cost (USD)</x:v>
      </x:c>
      <x:c r="O6" s="353" t="str">
        <x:v>Contract receipts delayed/lost this period (USD)</x:v>
      </x:c>
      <x:c r="P6" s="353" t="str">
        <x:v>Accepted claim reimbursement received (USD)</x:v>
      </x:c>
      <x:c r="Q6" s="353" t="str">
        <x:v>Core contract receipts before incident adjustment (USD)</x:v>
      </x:c>
      <x:c r="R6" s="353" t="str">
        <x:v>Incident receipt adjustment (USD)</x:v>
      </x:c>
      <x:c r="S6" s="353" t="str">
        <x:v>Basis / status</x:v>
      </x:c>
      <x:c r="T6" s="10"/>
      <x:c r="U6" s="10"/>
    </x:row>
    <x:row r="7" ht="60" customHeight="1">
      <x:c r="A7" s="313" t="str">
        <x:v>Stage 1: First safe survey</x:v>
      </x:c>
      <x:c r="B7" s="365" t="n">
        <x:v>0</x:v>
      </x:c>
      <x:c r="C7" s="366" t="n">
        <x:v>0</x:v>
      </x:c>
      <x:c r="D7" s="300" t="n">
        <x:f>B7*C7</x:f>
        <x:v>0</x:v>
      </x:c>
      <x:c r="E7" s="365" t="n">
        <x:v>0</x:v>
      </x:c>
      <x:c r="F7" s="366" t="n">
        <x:v>0</x:v>
      </x:c>
      <x:c r="G7" s="300" t="n">
        <x:f>E7*F7</x:f>
        <x:v>0</x:v>
      </x:c>
      <x:c r="H7" s="371" t="n">
        <x:f>0</x:f>
        <x:v>0</x:v>
      </x:c>
      <x:c r="I7" s="372" t="n">
        <x:f>0</x:f>
        <x:v>0</x:v>
      </x:c>
      <x:c r="J7" s="310" t="n">
        <x:f>'Economy'!$C$39</x:f>
        <x:v>5000000</x:v>
      </x:c>
      <x:c r="K7" s="310" t="n">
        <x:f>0</x:f>
        <x:v>0</x:v>
      </x:c>
      <x:c r="L7" s="365" t="n">
        <x:v>0</x:v>
      </x:c>
      <x:c r="M7" s="366" t="n">
        <x:v>0</x:v>
      </x:c>
      <x:c r="N7" s="300" t="n">
        <x:f>MAX(0,L7)*MAX(0,M7)</x:f>
        <x:v>0</x:v>
      </x:c>
      <x:c r="O7" s="366" t="n">
        <x:v>0</x:v>
      </x:c>
      <x:c r="P7" s="366" t="n">
        <x:v>0</x:v>
      </x:c>
      <x:c r="Q7" s="310" t="n">
        <x:f>SUM('Economy'!$B$8:$B$9)</x:f>
        <x:v>5000000</x:v>
      </x:c>
      <x:c r="R7" s="310" t="n">
        <x:f>MAX(0,P7)-MIN(MAX(0,O7),MAX(0,Q7))</x:f>
        <x:v>0</x:v>
      </x:c>
      <x:c r="S7" s="301" t="str">
        <x:v>Stage 1 penalties remain in Economy.</x:v>
      </x:c>
      <x:c r="T7" s="10"/>
      <x:c r="U7" s="10"/>
    </x:row>
    <x:row r="8" ht="60" customHeight="1">
      <x:c r="A8" s="165" t="str">
        <x:v>Stage 2: Repeat access</x:v>
      </x:c>
      <x:c r="B8" s="362" t="n">
        <x:v>0</x:v>
      </x:c>
      <x:c r="C8" s="361" t="n">
        <x:v>0</x:v>
      </x:c>
      <x:c r="D8" s="304" t="n">
        <x:f>B8*C8</x:f>
        <x:v>0</x:v>
      </x:c>
      <x:c r="E8" s="362" t="n">
        <x:v>0</x:v>
      </x:c>
      <x:c r="F8" s="361" t="n">
        <x:v>0</x:v>
      </x:c>
      <x:c r="G8" s="304" t="n">
        <x:f>E8*F8</x:f>
        <x:v>0</x:v>
      </x:c>
      <x:c r="H8" s="362" t="n">
        <x:v>0</x:v>
      </x:c>
      <x:c r="I8" s="361" t="n">
        <x:v>0</x:v>
      </x:c>
      <x:c r="J8" s="169" t="n">
        <x:f>'Campaign Scenarios'!$C$37</x:f>
        <x:v>2500000</x:v>
      </x:c>
      <x:c r="K8" s="169" t="n">
        <x:f>MAX(0,H8)*MIN(MAX(0,I8),MAX(0,J8)*25%)</x:f>
        <x:v>0</x:v>
      </x:c>
      <x:c r="L8" s="362" t="n">
        <x:v>0</x:v>
      </x:c>
      <x:c r="M8" s="361" t="n">
        <x:v>0</x:v>
      </x:c>
      <x:c r="N8" s="304" t="n">
        <x:f>MAX(0,L8)*MAX(0,M8)</x:f>
        <x:v>0</x:v>
      </x:c>
      <x:c r="O8" s="361" t="n">
        <x:v>0</x:v>
      </x:c>
      <x:c r="P8" s="361" t="n">
        <x:v>0</x:v>
      </x:c>
      <x:c r="Q8" s="169" t="n">
        <x:f>'Campaign Scenarios'!$C$44</x:f>
        <x:v>5000000</x:v>
      </x:c>
      <x:c r="R8" s="169" t="n">
        <x:f>MAX(0,P8)-MIN(MAX(0,O8),MAX(0,Q8))</x:f>
        <x:v>0</x:v>
      </x:c>
      <x:c r="S8" s="170" t="str">
        <x:v>Count accepted work/claims only; delayed cash is held.</x:v>
      </x:c>
      <x:c r="T8" s="10"/>
      <x:c r="U8" s="10"/>
    </x:row>
    <x:row r="9" ht="60" customHeight="1">
      <x:c r="A9" s="165" t="str">
        <x:v>Stage 3: Specialist services</x:v>
      </x:c>
      <x:c r="B9" s="362" t="n">
        <x:v>0</x:v>
      </x:c>
      <x:c r="C9" s="361" t="n">
        <x:v>0</x:v>
      </x:c>
      <x:c r="D9" s="304" t="n">
        <x:f>B9*C9</x:f>
        <x:v>0</x:v>
      </x:c>
      <x:c r="E9" s="362" t="n">
        <x:v>0</x:v>
      </x:c>
      <x:c r="F9" s="361" t="n">
        <x:v>0</x:v>
      </x:c>
      <x:c r="G9" s="304" t="n">
        <x:f>E9*F9</x:f>
        <x:v>0</x:v>
      </x:c>
      <x:c r="H9" s="362" t="n">
        <x:v>0</x:v>
      </x:c>
      <x:c r="I9" s="361" t="n">
        <x:v>0</x:v>
      </x:c>
      <x:c r="J9" s="169" t="n">
        <x:f>'Campaign Scenarios'!$C$67</x:f>
        <x:v>10000000</x:v>
      </x:c>
      <x:c r="K9" s="169" t="n">
        <x:f>MAX(0,H9)*MIN(MAX(0,I9),MAX(0,J9)*25%)</x:f>
        <x:v>0</x:v>
      </x:c>
      <x:c r="L9" s="362" t="n">
        <x:v>0</x:v>
      </x:c>
      <x:c r="M9" s="361" t="n">
        <x:v>0</x:v>
      </x:c>
      <x:c r="N9" s="304" t="n">
        <x:f>MAX(0,L9)*MAX(0,M9)</x:f>
        <x:v>0</x:v>
      </x:c>
      <x:c r="O9" s="361" t="n">
        <x:v>0</x:v>
      </x:c>
      <x:c r="P9" s="361" t="n">
        <x:v>0</x:v>
      </x:c>
      <x:c r="Q9" s="169" t="n">
        <x:f>'Campaign Scenarios'!$C$74</x:f>
        <x:v>30000000</x:v>
      </x:c>
      <x:c r="R9" s="169" t="n">
        <x:f>MAX(0,P9)-MIN(MAX(0,O9),MAX(0,Q9))</x:f>
        <x:v>0</x:v>
      </x:c>
      <x:c r="S9" s="170" t="str">
        <x:v>Count accepted work/claims only; delayed cash is held.</x:v>
      </x:c>
      <x:c r="T9" s="10"/>
      <x:c r="U9" s="10"/>
    </x:row>
    <x:row r="10" ht="60" customHeight="1">
      <x:c r="A10" s="165" t="str">
        <x:v>Stage 4: Leases and remote sites</x:v>
      </x:c>
      <x:c r="B10" s="362" t="n">
        <x:v>0</x:v>
      </x:c>
      <x:c r="C10" s="361" t="n">
        <x:v>0</x:v>
      </x:c>
      <x:c r="D10" s="304" t="n">
        <x:f>B10*C10</x:f>
        <x:v>0</x:v>
      </x:c>
      <x:c r="E10" s="362" t="n">
        <x:v>0</x:v>
      </x:c>
      <x:c r="F10" s="361" t="n">
        <x:v>0</x:v>
      </x:c>
      <x:c r="G10" s="304" t="n">
        <x:f>E10*F10</x:f>
        <x:v>0</x:v>
      </x:c>
      <x:c r="H10" s="362" t="n">
        <x:v>0</x:v>
      </x:c>
      <x:c r="I10" s="361" t="n">
        <x:v>0</x:v>
      </x:c>
      <x:c r="J10" s="169" t="n">
        <x:f>'Campaign Scenarios'!$C$97</x:f>
        <x:v>25000000</x:v>
      </x:c>
      <x:c r="K10" s="169" t="n">
        <x:f>MAX(0,H10)*MIN(MAX(0,I10),MAX(0,J10)*25%)</x:f>
        <x:v>0</x:v>
      </x:c>
      <x:c r="L10" s="362" t="n">
        <x:v>0</x:v>
      </x:c>
      <x:c r="M10" s="361" t="n">
        <x:v>0</x:v>
      </x:c>
      <x:c r="N10" s="304" t="n">
        <x:f>MAX(0,L10)*MAX(0,M10)</x:f>
        <x:v>0</x:v>
      </x:c>
      <x:c r="O10" s="361" t="n">
        <x:v>0</x:v>
      </x:c>
      <x:c r="P10" s="361" t="n">
        <x:v>0</x:v>
      </x:c>
      <x:c r="Q10" s="169" t="n">
        <x:f>'Campaign Scenarios'!$C$104</x:f>
        <x:v>100000000</x:v>
      </x:c>
      <x:c r="R10" s="169" t="n">
        <x:f>MAX(0,P10)-MIN(MAX(0,O10),MAX(0,Q10))</x:f>
        <x:v>0</x:v>
      </x:c>
      <x:c r="S10" s="170" t="str">
        <x:v>Count accepted work/claims only; delayed cash is held.</x:v>
      </x:c>
      <x:c r="T10" s="10"/>
      <x:c r="U10" s="10"/>
    </x:row>
    <x:row r="11" ht="60" customHeight="1">
      <x:c r="A11" s="165" t="str">
        <x:v>Stage 5: Large recovery and network work</x:v>
      </x:c>
      <x:c r="B11" s="362" t="n">
        <x:v>0</x:v>
      </x:c>
      <x:c r="C11" s="361" t="n">
        <x:v>0</x:v>
      </x:c>
      <x:c r="D11" s="304" t="n">
        <x:f>B11*C11</x:f>
        <x:v>0</x:v>
      </x:c>
      <x:c r="E11" s="362" t="n">
        <x:v>0</x:v>
      </x:c>
      <x:c r="F11" s="361" t="n">
        <x:v>0</x:v>
      </x:c>
      <x:c r="G11" s="304" t="n">
        <x:f>E11*F11</x:f>
        <x:v>0</x:v>
      </x:c>
      <x:c r="H11" s="362" t="n">
        <x:v>0</x:v>
      </x:c>
      <x:c r="I11" s="361" t="n">
        <x:v>0</x:v>
      </x:c>
      <x:c r="J11" s="169" t="n">
        <x:f>'Campaign Scenarios'!$C$127</x:f>
        <x:v>75000000</x:v>
      </x:c>
      <x:c r="K11" s="169" t="n">
        <x:f>MAX(0,H11)*MIN(MAX(0,I11),MAX(0,J11)*25%)</x:f>
        <x:v>0</x:v>
      </x:c>
      <x:c r="L11" s="362" t="n">
        <x:v>0</x:v>
      </x:c>
      <x:c r="M11" s="361" t="n">
        <x:v>0</x:v>
      </x:c>
      <x:c r="N11" s="304" t="n">
        <x:f>MAX(0,L11)*MAX(0,M11)</x:f>
        <x:v>0</x:v>
      </x:c>
      <x:c r="O11" s="361" t="n">
        <x:v>0</x:v>
      </x:c>
      <x:c r="P11" s="361" t="n">
        <x:v>0</x:v>
      </x:c>
      <x:c r="Q11" s="169" t="n">
        <x:f>'Campaign Scenarios'!$C$134</x:f>
        <x:v>375000000</x:v>
      </x:c>
      <x:c r="R11" s="169" t="n">
        <x:f>MAX(0,P11)-MIN(MAX(0,O11),MAX(0,Q11))</x:f>
        <x:v>0</x:v>
      </x:c>
      <x:c r="S11" s="170" t="str">
        <x:v>Count accepted work/claims only; delayed cash is held.</x:v>
      </x:c>
      <x:c r="T11" s="10"/>
      <x:c r="U11" s="10"/>
    </x:row>
    <x:row r="12" ht="60" customHeight="1">
      <x:c r="A12" s="165" t="str">
        <x:v>Stage 6: Vehicle and optional orbital support</x:v>
      </x:c>
      <x:c r="B12" s="362" t="n">
        <x:v>0</x:v>
      </x:c>
      <x:c r="C12" s="361" t="n">
        <x:v>0</x:v>
      </x:c>
      <x:c r="D12" s="304" t="n">
        <x:f>B12*C12</x:f>
        <x:v>0</x:v>
      </x:c>
      <x:c r="E12" s="362" t="n">
        <x:v>0</x:v>
      </x:c>
      <x:c r="F12" s="361" t="n">
        <x:v>0</x:v>
      </x:c>
      <x:c r="G12" s="304" t="n">
        <x:f>E12*F12</x:f>
        <x:v>0</x:v>
      </x:c>
      <x:c r="H12" s="362" t="n">
        <x:v>0</x:v>
      </x:c>
      <x:c r="I12" s="361" t="n">
        <x:v>0</x:v>
      </x:c>
      <x:c r="J12" s="169" t="n">
        <x:f>'Campaign Scenarios'!$C$157</x:f>
        <x:v>150000000</x:v>
      </x:c>
      <x:c r="K12" s="169" t="n">
        <x:f>MAX(0,H12)*MIN(MAX(0,I12),MAX(0,J12)*25%)</x:f>
        <x:v>0</x:v>
      </x:c>
      <x:c r="L12" s="362" t="n">
        <x:v>0</x:v>
      </x:c>
      <x:c r="M12" s="361" t="n">
        <x:v>0</x:v>
      </x:c>
      <x:c r="N12" s="304" t="n">
        <x:f>MAX(0,L12)*MAX(0,M12)</x:f>
        <x:v>0</x:v>
      </x:c>
      <x:c r="O12" s="361" t="n">
        <x:v>0</x:v>
      </x:c>
      <x:c r="P12" s="361" t="n">
        <x:v>0</x:v>
      </x:c>
      <x:c r="Q12" s="169" t="n">
        <x:f>'Campaign Scenarios'!$C$164</x:f>
        <x:v>750000000</x:v>
      </x:c>
      <x:c r="R12" s="169" t="n">
        <x:f>MAX(0,P12)-MIN(MAX(0,O12),MAX(0,Q12))</x:f>
        <x:v>0</x:v>
      </x:c>
      <x:c r="S12" s="170" t="str">
        <x:v>Count accepted work/claims only; delayed cash is held.</x:v>
      </x:c>
      <x:c r="T12" s="10"/>
      <x:c r="U12" s="10"/>
    </x:row>
    <x:row r="13" ht="60" customHeight="1">
      <x:c r="A13" s="165" t="str">
        <x:v>Stage 7: Deep-site operations</x:v>
      </x:c>
      <x:c r="B13" s="362" t="n">
        <x:v>0</x:v>
      </x:c>
      <x:c r="C13" s="361" t="n">
        <x:v>0</x:v>
      </x:c>
      <x:c r="D13" s="304" t="n">
        <x:f>B13*C13</x:f>
        <x:v>0</x:v>
      </x:c>
      <x:c r="E13" s="362" t="n">
        <x:v>0</x:v>
      </x:c>
      <x:c r="F13" s="361" t="n">
        <x:v>0</x:v>
      </x:c>
      <x:c r="G13" s="304" t="n">
        <x:f>E13*F13</x:f>
        <x:v>0</x:v>
      </x:c>
      <x:c r="H13" s="362" t="n">
        <x:v>0</x:v>
      </x:c>
      <x:c r="I13" s="361" t="n">
        <x:v>0</x:v>
      </x:c>
      <x:c r="J13" s="169" t="n">
        <x:f>'Campaign Scenarios'!$C$187</x:f>
        <x:v>300000000</x:v>
      </x:c>
      <x:c r="K13" s="169" t="n">
        <x:f>MAX(0,H13)*MIN(MAX(0,I13),MAX(0,J13)*25%)</x:f>
        <x:v>0</x:v>
      </x:c>
      <x:c r="L13" s="362" t="n">
        <x:v>0</x:v>
      </x:c>
      <x:c r="M13" s="361" t="n">
        <x:v>0</x:v>
      </x:c>
      <x:c r="N13" s="304" t="n">
        <x:f>MAX(0,L13)*MAX(0,M13)</x:f>
        <x:v>0</x:v>
      </x:c>
      <x:c r="O13" s="361" t="n">
        <x:v>0</x:v>
      </x:c>
      <x:c r="P13" s="361" t="n">
        <x:v>0</x:v>
      </x:c>
      <x:c r="Q13" s="169" t="n">
        <x:f>'Campaign Scenarios'!$C$194</x:f>
        <x:v>1200000000</x:v>
      </x:c>
      <x:c r="R13" s="169" t="n">
        <x:f>MAX(0,P13)-MIN(MAX(0,O13),MAX(0,Q13))</x:f>
        <x:v>0</x:v>
      </x:c>
      <x:c r="S13" s="170" t="str">
        <x:v>Count accepted work/claims only; delayed cash is held.</x:v>
      </x:c>
      <x:c r="T13" s="10"/>
      <x:c r="U13" s="10"/>
    </x:row>
    <x:row r="14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0"/>
      <x:c r="U14" s="10"/>
    </x:row>
    <x:row r="15">
      <x:c r="A15" s="10"/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</x:row>
    <x:row r="16">
      <x:c r="A16" s="351" t="str">
        <x:v>Optional VGE vehicle/gravship and itemized outpost case</x:v>
      </x:c>
      <x:c r="B16" s="351"/>
      <x:c r="C16" s="351"/>
      <x:c r="D16" s="351"/>
      <x:c r="E16" s="351"/>
      <x:c r="F16" s="351"/>
      <x:c r="G16" s="351"/>
      <x:c r="H16" s="351"/>
      <x:c r="I16" s="351"/>
      <x:c r="J16" s="351"/>
      <x:c r="K16" s="351"/>
      <x:c r="L16" s="351"/>
      <x:c r="M16" s="10"/>
      <x:c r="N16" s="10"/>
      <x:c r="O16" s="10"/>
      <x:c r="P16" s="10"/>
      <x:c r="Q16" s="10"/>
      <x:c r="R16" s="10"/>
      <x:c r="S16" s="10"/>
      <x:c r="T16" s="10"/>
      <x:c r="U16" s="10"/>
    </x:row>
    <x:row r="17" ht="64" customHeight="1">
      <x:c r="A17" s="353" t="str">
        <x:v>Campaign stage</x:v>
      </x:c>
      <x:c r="B17" s="353" t="str">
        <x:v>Optional vehicle/gravship acquisition quote (USD)</x:v>
      </x:c>
      <x:c r="C17" s="353" t="str">
        <x:v>Vehicle/gravship operating, fuel, maintenance quote (USD / case)</x:v>
      </x:c>
      <x:c r="D17" s="353" t="str">
        <x:v>Additional outpost hires beyond stage roster (FTE)</x:v>
      </x:c>
      <x:c r="E17" s="353" t="str">
        <x:v>Outpost extra payroll + setup (USD)</x:v>
      </x:c>
      <x:c r="F17" s="353" t="str">
        <x:v>Outpost security/defense quote (USD)</x:v>
      </x:c>
      <x:c r="G17" s="353" t="str">
        <x:v>Physical resupply shipments (count)</x:v>
      </x:c>
      <x:c r="H17" s="353" t="str">
        <x:v>Invoice per physical shipment (USD)</x:v>
      </x:c>
      <x:c r="I17" s="353" t="str">
        <x:v>Extra communications beyond basic site allowance (USD)</x:v>
      </x:c>
      <x:c r="J17" s="353" t="str">
        <x:v>Evacuation/closure reserve quote (USD)</x:v>
      </x:c>
      <x:c r="K17" s="353" t="str">
        <x:v>Total vehicle + outpost additions (USD)</x:v>
      </x:c>
      <x:c r="L17" s="353" t="str">
        <x:v>Basis / status</x:v>
      </x:c>
      <x:c r="M17" s="10"/>
      <x:c r="N17" s="10"/>
      <x:c r="O17" s="10"/>
      <x:c r="P17" s="10"/>
      <x:c r="Q17" s="10"/>
      <x:c r="R17" s="10"/>
      <x:c r="S17" s="10"/>
      <x:c r="T17" s="10"/>
      <x:c r="U17" s="10"/>
    </x:row>
    <x:row r="18" ht="60" customHeight="1">
      <x:c r="A18" s="313" t="str">
        <x:v>Stage 1: First safe survey</x:v>
      </x:c>
      <x:c r="B18" s="366" t="n">
        <x:v>0</x:v>
      </x:c>
      <x:c r="C18" s="366" t="n">
        <x:v>0</x:v>
      </x:c>
      <x:c r="D18" s="365" t="n">
        <x:v>0</x:v>
      </x:c>
      <x:c r="E18" s="310" t="n">
        <x:f>MAX(0,D18)*(30*'Economy'!$C$34+'Economy'!$C$45)</x:f>
        <x:v>0</x:v>
      </x:c>
      <x:c r="F18" s="366" t="n">
        <x:v>0</x:v>
      </x:c>
      <x:c r="G18" s="365" t="n">
        <x:v>0</x:v>
      </x:c>
      <x:c r="H18" s="366" t="n">
        <x:v>0</x:v>
      </x:c>
      <x:c r="I18" s="366" t="n">
        <x:v>0</x:v>
      </x:c>
      <x:c r="J18" s="366" t="n">
        <x:v>0</x:v>
      </x:c>
      <x:c r="K18" s="310" t="n">
        <x:f>SUM(B18:C18)+E18+F18+G18*H18+I18+J18</x:f>
        <x:v>0</x:v>
      </x:c>
      <x:c r="L18" s="301" t="str">
        <x:v>VGE is optional; delivered vehicles stay physical. Base site fee is included.</x:v>
      </x:c>
      <x:c r="M18" s="10"/>
      <x:c r="N18" s="10"/>
      <x:c r="O18" s="10"/>
      <x:c r="P18" s="10"/>
      <x:c r="Q18" s="10"/>
      <x:c r="R18" s="10"/>
      <x:c r="S18" s="10"/>
      <x:c r="T18" s="10"/>
      <x:c r="U18" s="10"/>
    </x:row>
    <x:row r="19" ht="60" customHeight="1">
      <x:c r="A19" s="165" t="str">
        <x:v>Stage 2: Repeat access</x:v>
      </x:c>
      <x:c r="B19" s="361" t="n">
        <x:v>0</x:v>
      </x:c>
      <x:c r="C19" s="361" t="n">
        <x:v>0</x:v>
      </x:c>
      <x:c r="D19" s="362" t="n">
        <x:v>0</x:v>
      </x:c>
      <x:c r="E19" s="169" t="n">
        <x:f>MAX(0,D19)*(30*'Campaign Scenarios'!$B$18+'Campaign Scenarios'!$B$21)</x:f>
        <x:v>0</x:v>
      </x:c>
      <x:c r="F19" s="361" t="n">
        <x:v>0</x:v>
      </x:c>
      <x:c r="G19" s="362" t="n">
        <x:v>0</x:v>
      </x:c>
      <x:c r="H19" s="361" t="n">
        <x:v>0</x:v>
      </x:c>
      <x:c r="I19" s="361" t="n">
        <x:v>0</x:v>
      </x:c>
      <x:c r="J19" s="361" t="n">
        <x:v>0</x:v>
      </x:c>
      <x:c r="K19" s="169" t="n">
        <x:f>SUM(B19:C19)+E19+F19+G19*H19+I19+J19</x:f>
        <x:v>0</x:v>
      </x:c>
      <x:c r="L19" s="170" t="str">
        <x:v>VGE is optional; delivered vehicles stay physical. Base site fee is included.</x:v>
      </x:c>
      <x:c r="M19" s="10"/>
      <x:c r="N19" s="10"/>
      <x:c r="O19" s="10"/>
      <x:c r="P19" s="10"/>
      <x:c r="Q19" s="10"/>
      <x:c r="R19" s="10"/>
      <x:c r="S19" s="10"/>
      <x:c r="T19" s="10"/>
      <x:c r="U19" s="10"/>
    </x:row>
    <x:row r="20" ht="60" customHeight="1">
      <x:c r="A20" s="165" t="str">
        <x:v>Stage 3: Specialist services</x:v>
      </x:c>
      <x:c r="B20" s="361" t="n">
        <x:v>0</x:v>
      </x:c>
      <x:c r="C20" s="361" t="n">
        <x:v>0</x:v>
      </x:c>
      <x:c r="D20" s="362" t="n">
        <x:v>0</x:v>
      </x:c>
      <x:c r="E20" s="169" t="n">
        <x:f>MAX(0,D20)*(30*'Campaign Scenarios'!$B$18+'Campaign Scenarios'!$B$21)</x:f>
        <x:v>0</x:v>
      </x:c>
      <x:c r="F20" s="361" t="n">
        <x:v>0</x:v>
      </x:c>
      <x:c r="G20" s="362" t="n">
        <x:v>0</x:v>
      </x:c>
      <x:c r="H20" s="361" t="n">
        <x:v>0</x:v>
      </x:c>
      <x:c r="I20" s="361" t="n">
        <x:v>0</x:v>
      </x:c>
      <x:c r="J20" s="361" t="n">
        <x:v>0</x:v>
      </x:c>
      <x:c r="K20" s="169" t="n">
        <x:f>SUM(B20:C20)+E20+F20+G20*H20+I20+J20</x:f>
        <x:v>0</x:v>
      </x:c>
      <x:c r="L20" s="170" t="str">
        <x:v>VGE is optional; delivered vehicles stay physical. Base site fee is included.</x:v>
      </x:c>
      <x:c r="M20" s="10"/>
      <x:c r="N20" s="10"/>
      <x:c r="O20" s="10"/>
      <x:c r="P20" s="10"/>
      <x:c r="Q20" s="10"/>
      <x:c r="R20" s="10"/>
      <x:c r="S20" s="10"/>
      <x:c r="T20" s="10"/>
      <x:c r="U20" s="10"/>
    </x:row>
    <x:row r="21" ht="60" customHeight="1">
      <x:c r="A21" s="165" t="str">
        <x:v>Stage 4: Leases and remote sites</x:v>
      </x:c>
      <x:c r="B21" s="361" t="n">
        <x:v>0</x:v>
      </x:c>
      <x:c r="C21" s="361" t="n">
        <x:v>0</x:v>
      </x:c>
      <x:c r="D21" s="362" t="n">
        <x:v>0</x:v>
      </x:c>
      <x:c r="E21" s="169" t="n">
        <x:f>MAX(0,D21)*(30*'Campaign Scenarios'!$B$18+'Campaign Scenarios'!$B$21)</x:f>
        <x:v>0</x:v>
      </x:c>
      <x:c r="F21" s="361" t="n">
        <x:v>0</x:v>
      </x:c>
      <x:c r="G21" s="362" t="n">
        <x:v>0</x:v>
      </x:c>
      <x:c r="H21" s="361" t="n">
        <x:v>0</x:v>
      </x:c>
      <x:c r="I21" s="361" t="n">
        <x:v>0</x:v>
      </x:c>
      <x:c r="J21" s="361" t="n">
        <x:v>0</x:v>
      </x:c>
      <x:c r="K21" s="169" t="n">
        <x:f>SUM(B21:C21)+E21+F21+G21*H21+I21+J21</x:f>
        <x:v>0</x:v>
      </x:c>
      <x:c r="L21" s="170" t="str">
        <x:v>VGE is optional; delivered vehicles stay physical. Base site fee is included.</x:v>
      </x:c>
      <x:c r="M21" s="10"/>
      <x:c r="N21" s="10"/>
      <x:c r="O21" s="10"/>
      <x:c r="P21" s="10"/>
      <x:c r="Q21" s="10"/>
      <x:c r="R21" s="10"/>
      <x:c r="S21" s="10"/>
      <x:c r="T21" s="10"/>
      <x:c r="U21" s="10"/>
    </x:row>
    <x:row r="22" ht="60" customHeight="1">
      <x:c r="A22" s="165" t="str">
        <x:v>Stage 5: Large recovery and network work</x:v>
      </x:c>
      <x:c r="B22" s="361" t="n">
        <x:v>0</x:v>
      </x:c>
      <x:c r="C22" s="361" t="n">
        <x:v>0</x:v>
      </x:c>
      <x:c r="D22" s="362" t="n">
        <x:v>0</x:v>
      </x:c>
      <x:c r="E22" s="169" t="n">
        <x:f>MAX(0,D22)*(30*'Campaign Scenarios'!$B$18+'Campaign Scenarios'!$B$21)</x:f>
        <x:v>0</x:v>
      </x:c>
      <x:c r="F22" s="361" t="n">
        <x:v>0</x:v>
      </x:c>
      <x:c r="G22" s="362" t="n">
        <x:v>0</x:v>
      </x:c>
      <x:c r="H22" s="361" t="n">
        <x:v>0</x:v>
      </x:c>
      <x:c r="I22" s="361" t="n">
        <x:v>0</x:v>
      </x:c>
      <x:c r="J22" s="361" t="n">
        <x:v>0</x:v>
      </x:c>
      <x:c r="K22" s="169" t="n">
        <x:f>SUM(B22:C22)+E22+F22+G22*H22+I22+J22</x:f>
        <x:v>0</x:v>
      </x:c>
      <x:c r="L22" s="170" t="str">
        <x:v>VGE is optional; delivered vehicles stay physical. Base site fee is included.</x:v>
      </x:c>
      <x:c r="M22" s="10"/>
      <x:c r="N22" s="10"/>
      <x:c r="O22" s="10"/>
      <x:c r="P22" s="10"/>
      <x:c r="Q22" s="10"/>
      <x:c r="R22" s="10"/>
      <x:c r="S22" s="10"/>
      <x:c r="T22" s="10"/>
      <x:c r="U22" s="10"/>
    </x:row>
    <x:row r="23" ht="60" customHeight="1">
      <x:c r="A23" s="165" t="str">
        <x:v>Stage 6: Vehicle and optional orbital support</x:v>
      </x:c>
      <x:c r="B23" s="361" t="n">
        <x:v>0</x:v>
      </x:c>
      <x:c r="C23" s="361" t="n">
        <x:v>0</x:v>
      </x:c>
      <x:c r="D23" s="362" t="n">
        <x:v>0</x:v>
      </x:c>
      <x:c r="E23" s="169" t="n">
        <x:f>MAX(0,D23)*(30*'Campaign Scenarios'!$B$18+'Campaign Scenarios'!$B$21)</x:f>
        <x:v>0</x:v>
      </x:c>
      <x:c r="F23" s="361" t="n">
        <x:v>0</x:v>
      </x:c>
      <x:c r="G23" s="362" t="n">
        <x:v>0</x:v>
      </x:c>
      <x:c r="H23" s="361" t="n">
        <x:v>0</x:v>
      </x:c>
      <x:c r="I23" s="361" t="n">
        <x:v>0</x:v>
      </x:c>
      <x:c r="J23" s="361" t="n">
        <x:v>0</x:v>
      </x:c>
      <x:c r="K23" s="169" t="n">
        <x:f>SUM(B23:C23)+E23+F23+G23*H23+I23+J23</x:f>
        <x:v>0</x:v>
      </x:c>
      <x:c r="L23" s="170" t="str">
        <x:v>VGE is optional; delivered vehicles stay physical. Base site fee is included.</x:v>
      </x:c>
      <x:c r="M23" s="10"/>
      <x:c r="N23" s="10"/>
      <x:c r="O23" s="10"/>
      <x:c r="P23" s="10"/>
      <x:c r="Q23" s="10"/>
      <x:c r="R23" s="10"/>
      <x:c r="S23" s="10"/>
      <x:c r="T23" s="10"/>
      <x:c r="U23" s="10"/>
    </x:row>
    <x:row r="24" ht="60" customHeight="1">
      <x:c r="A24" s="165" t="str">
        <x:v>Stage 7: Deep-site operations</x:v>
      </x:c>
      <x:c r="B24" s="361" t="n">
        <x:v>0</x:v>
      </x:c>
      <x:c r="C24" s="361" t="n">
        <x:v>0</x:v>
      </x:c>
      <x:c r="D24" s="362" t="n">
        <x:v>0</x:v>
      </x:c>
      <x:c r="E24" s="169" t="n">
        <x:f>MAX(0,D24)*(30*'Campaign Scenarios'!$B$18+'Campaign Scenarios'!$B$21)</x:f>
        <x:v>0</x:v>
      </x:c>
      <x:c r="F24" s="361" t="n">
        <x:v>0</x:v>
      </x:c>
      <x:c r="G24" s="362" t="n">
        <x:v>0</x:v>
      </x:c>
      <x:c r="H24" s="361" t="n">
        <x:v>0</x:v>
      </x:c>
      <x:c r="I24" s="361" t="n">
        <x:v>0</x:v>
      </x:c>
      <x:c r="J24" s="361" t="n">
        <x:v>0</x:v>
      </x:c>
      <x:c r="K24" s="169" t="n">
        <x:f>SUM(B24:C24)+E24+F24+G24*H24+I24+J24</x:f>
        <x:v>0</x:v>
      </x:c>
      <x:c r="L24" s="170" t="str">
        <x:v>VGE is optional; delivered vehicles stay physical. Base site fee is included.</x:v>
      </x:c>
      <x:c r="M24" s="10"/>
      <x:c r="N24" s="10"/>
      <x:c r="O24" s="10"/>
      <x:c r="P24" s="10"/>
      <x:c r="Q24" s="10"/>
      <x:c r="R24" s="10"/>
      <x:c r="S24" s="10"/>
      <x:c r="T24" s="10"/>
      <x:c r="U24" s="10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  <x:c r="S25" s="10"/>
      <x:c r="T25" s="10"/>
      <x:c r="U25" s="10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10"/>
      <x:c r="R26" s="10"/>
      <x:c r="S26" s="10"/>
      <x:c r="T26" s="10"/>
      <x:c r="U26" s="10"/>
    </x:row>
    <x:row r="27">
      <x:c r="A27" s="351" t="str">
        <x:v>Long expedition extension beyond the 30-day base case</x:v>
      </x:c>
      <x:c r="B27" s="351"/>
      <x:c r="C27" s="351"/>
      <x:c r="D27" s="351"/>
      <x:c r="E27" s="351"/>
      <x:c r="F27" s="351"/>
      <x:c r="G27" s="351"/>
      <x:c r="H27" s="351"/>
      <x:c r="I27" s="351"/>
      <x:c r="J27" s="351"/>
      <x:c r="K27" s="351"/>
      <x:c r="L27" s="351"/>
      <x:c r="M27" s="351"/>
      <x:c r="N27" s="10"/>
      <x:c r="O27" s="10"/>
      <x:c r="P27" s="10"/>
      <x:c r="Q27" s="10"/>
      <x:c r="R27" s="10"/>
      <x:c r="S27" s="10"/>
      <x:c r="T27" s="10"/>
      <x:c r="U27" s="10"/>
    </x:row>
    <x:row r="28" ht="66" customHeight="1">
      <x:c r="A28" s="353" t="str">
        <x:v>Campaign stage</x:v>
      </x:c>
      <x:c r="B28" s="353" t="str">
        <x:v>Additional expedition days</x:v>
      </x:c>
      <x:c r="C28" s="353" t="str">
        <x:v>Field crew count</x:v>
      </x:c>
      <x:c r="D28" s="353" t="str">
        <x:v>Extra specialist premium / crew / day (USD)</x:v>
      </x:c>
      <x:c r="E28" s="353" t="str">
        <x:v>Provision/support invoice / person-day (USD)</x:v>
      </x:c>
      <x:c r="F28" s="353" t="str">
        <x:v>Extended base payroll (USD)</x:v>
      </x:c>
      <x:c r="G28" s="353" t="str">
        <x:v>Extended specialist premium (USD)</x:v>
      </x:c>
      <x:c r="H28" s="353" t="str">
        <x:v>Physical provisions/support quote (USD)</x:v>
      </x:c>
      <x:c r="I28" s="353" t="str">
        <x:v>Transport/fuel/return quote (USD)</x:v>
      </x:c>
      <x:c r="J28" s="353" t="str">
        <x:v>Equipment/consumable replacement (USD)</x:v>
      </x:c>
      <x:c r="K28" s="353" t="str">
        <x:v>Rescue/evacuation reserve (USD)</x:v>
      </x:c>
      <x:c r="L28" s="353" t="str">
        <x:v>Total extension cost (USD)</x:v>
      </x:c>
      <x:c r="M28" s="353" t="str">
        <x:v>Basis / status</x:v>
      </x:c>
      <x:c r="N28" s="10"/>
      <x:c r="O28" s="10"/>
      <x:c r="P28" s="10"/>
      <x:c r="Q28" s="10"/>
      <x:c r="R28" s="10"/>
      <x:c r="S28" s="10"/>
      <x:c r="T28" s="10"/>
      <x:c r="U28" s="10"/>
    </x:row>
    <x:row r="29" ht="60" customHeight="1">
      <x:c r="A29" s="313" t="str">
        <x:v>Stage 1: First safe survey</x:v>
      </x:c>
      <x:c r="B29" s="365" t="n">
        <x:v>0</x:v>
      </x:c>
      <x:c r="C29" s="365" t="n">
        <x:v>0</x:v>
      </x:c>
      <x:c r="D29" s="366" t="n">
        <x:v>0</x:v>
      </x:c>
      <x:c r="E29" s="366" t="n">
        <x:v>0</x:v>
      </x:c>
      <x:c r="F29" s="310" t="n">
        <x:f>MAX(0,B29)*MAX(0,C29)*'Economy'!$C$34</x:f>
        <x:v>0</x:v>
      </x:c>
      <x:c r="G29" s="310" t="n">
        <x:f>MAX(0,B29)*MAX(0,C29)*MAX(0,D29)</x:f>
        <x:v>0</x:v>
      </x:c>
      <x:c r="H29" s="310" t="n">
        <x:f>MAX(0,B29)*MAX(0,C29)*MAX(0,E29)</x:f>
        <x:v>0</x:v>
      </x:c>
      <x:c r="I29" s="366" t="n">
        <x:v>0</x:v>
      </x:c>
      <x:c r="J29" s="366" t="n">
        <x:v>0</x:v>
      </x:c>
      <x:c r="K29" s="366" t="n">
        <x:v>0</x:v>
      </x:c>
      <x:c r="L29" s="310" t="n">
        <x:f>SUM(F29:K29)</x:f>
        <x:v>0</x:v>
      </x:c>
      <x:c r="M29" s="301" t="str">
        <x:v>Beyond day 30 only; supplies stay physical. Avoid duplicate quotes.</x:v>
      </x:c>
      <x:c r="N29" s="10"/>
      <x:c r="O29" s="10"/>
      <x:c r="P29" s="10"/>
      <x:c r="Q29" s="10"/>
      <x:c r="R29" s="10"/>
      <x:c r="S29" s="10"/>
      <x:c r="T29" s="10"/>
      <x:c r="U29" s="10"/>
    </x:row>
    <x:row r="30" ht="60" customHeight="1">
      <x:c r="A30" s="165" t="str">
        <x:v>Stage 2: Repeat access</x:v>
      </x:c>
      <x:c r="B30" s="362" t="n">
        <x:v>0</x:v>
      </x:c>
      <x:c r="C30" s="362" t="n">
        <x:v>0</x:v>
      </x:c>
      <x:c r="D30" s="361" t="n">
        <x:v>0</x:v>
      </x:c>
      <x:c r="E30" s="361" t="n">
        <x:v>0</x:v>
      </x:c>
      <x:c r="F30" s="169" t="n">
        <x:f>MAX(0,B30)*MAX(0,C30)*'Campaign Scenarios'!$B$18</x:f>
        <x:v>0</x:v>
      </x:c>
      <x:c r="G30" s="169" t="n">
        <x:f>MAX(0,B30)*MAX(0,C30)*MAX(0,D30)</x:f>
        <x:v>0</x:v>
      </x:c>
      <x:c r="H30" s="169" t="n">
        <x:f>MAX(0,B30)*MAX(0,C30)*MAX(0,E30)</x:f>
        <x:v>0</x:v>
      </x:c>
      <x:c r="I30" s="361" t="n">
        <x:v>0</x:v>
      </x:c>
      <x:c r="J30" s="361" t="n">
        <x:v>0</x:v>
      </x:c>
      <x:c r="K30" s="361" t="n">
        <x:v>0</x:v>
      </x:c>
      <x:c r="L30" s="169" t="n">
        <x:f>SUM(F30:K30)</x:f>
        <x:v>0</x:v>
      </x:c>
      <x:c r="M30" s="170" t="str">
        <x:v>Beyond day 30 only; supplies stay physical. Avoid duplicate quotes.</x:v>
      </x:c>
      <x:c r="N30" s="10"/>
      <x:c r="O30" s="10"/>
      <x:c r="P30" s="10"/>
      <x:c r="Q30" s="10"/>
      <x:c r="R30" s="10"/>
      <x:c r="S30" s="10"/>
      <x:c r="T30" s="10"/>
      <x:c r="U30" s="10"/>
    </x:row>
    <x:row r="31" ht="60" customHeight="1">
      <x:c r="A31" s="165" t="str">
        <x:v>Stage 3: Specialist services</x:v>
      </x:c>
      <x:c r="B31" s="362" t="n">
        <x:v>0</x:v>
      </x:c>
      <x:c r="C31" s="362" t="n">
        <x:v>0</x:v>
      </x:c>
      <x:c r="D31" s="361" t="n">
        <x:v>0</x:v>
      </x:c>
      <x:c r="E31" s="361" t="n">
        <x:v>0</x:v>
      </x:c>
      <x:c r="F31" s="169" t="n">
        <x:f>MAX(0,B31)*MAX(0,C31)*'Campaign Scenarios'!$B$18</x:f>
        <x:v>0</x:v>
      </x:c>
      <x:c r="G31" s="169" t="n">
        <x:f>MAX(0,B31)*MAX(0,C31)*MAX(0,D31)</x:f>
        <x:v>0</x:v>
      </x:c>
      <x:c r="H31" s="169" t="n">
        <x:f>MAX(0,B31)*MAX(0,C31)*MAX(0,E31)</x:f>
        <x:v>0</x:v>
      </x:c>
      <x:c r="I31" s="361" t="n">
        <x:v>0</x:v>
      </x:c>
      <x:c r="J31" s="361" t="n">
        <x:v>0</x:v>
      </x:c>
      <x:c r="K31" s="361" t="n">
        <x:v>0</x:v>
      </x:c>
      <x:c r="L31" s="169" t="n">
        <x:f>SUM(F31:K31)</x:f>
        <x:v>0</x:v>
      </x:c>
      <x:c r="M31" s="170" t="str">
        <x:v>Beyond day 30 only; supplies stay physical. Avoid duplicate quotes.</x:v>
      </x:c>
      <x:c r="N31" s="10"/>
      <x:c r="O31" s="10"/>
      <x:c r="P31" s="10"/>
      <x:c r="Q31" s="10"/>
      <x:c r="R31" s="10"/>
      <x:c r="S31" s="10"/>
      <x:c r="T31" s="10"/>
      <x:c r="U31" s="10"/>
    </x:row>
    <x:row r="32" ht="60" customHeight="1">
      <x:c r="A32" s="165" t="str">
        <x:v>Stage 4: Leases and remote sites</x:v>
      </x:c>
      <x:c r="B32" s="362" t="n">
        <x:v>0</x:v>
      </x:c>
      <x:c r="C32" s="362" t="n">
        <x:v>0</x:v>
      </x:c>
      <x:c r="D32" s="361" t="n">
        <x:v>0</x:v>
      </x:c>
      <x:c r="E32" s="361" t="n">
        <x:v>0</x:v>
      </x:c>
      <x:c r="F32" s="169" t="n">
        <x:f>MAX(0,B32)*MAX(0,C32)*'Campaign Scenarios'!$B$18</x:f>
        <x:v>0</x:v>
      </x:c>
      <x:c r="G32" s="169" t="n">
        <x:f>MAX(0,B32)*MAX(0,C32)*MAX(0,D32)</x:f>
        <x:v>0</x:v>
      </x:c>
      <x:c r="H32" s="169" t="n">
        <x:f>MAX(0,B32)*MAX(0,C32)*MAX(0,E32)</x:f>
        <x:v>0</x:v>
      </x:c>
      <x:c r="I32" s="361" t="n">
        <x:v>0</x:v>
      </x:c>
      <x:c r="J32" s="361" t="n">
        <x:v>0</x:v>
      </x:c>
      <x:c r="K32" s="361" t="n">
        <x:v>0</x:v>
      </x:c>
      <x:c r="L32" s="169" t="n">
        <x:f>SUM(F32:K32)</x:f>
        <x:v>0</x:v>
      </x:c>
      <x:c r="M32" s="170" t="str">
        <x:v>Beyond day 30 only; supplies stay physical. Avoid duplicate quotes.</x:v>
      </x:c>
      <x:c r="N32" s="10"/>
      <x:c r="O32" s="10"/>
      <x:c r="P32" s="10"/>
      <x:c r="Q32" s="10"/>
      <x:c r="R32" s="10"/>
      <x:c r="S32" s="10"/>
      <x:c r="T32" s="10"/>
      <x:c r="U32" s="10"/>
    </x:row>
    <x:row r="33" ht="60" customHeight="1">
      <x:c r="A33" s="165" t="str">
        <x:v>Stage 5: Large recovery and network work</x:v>
      </x:c>
      <x:c r="B33" s="362" t="n">
        <x:v>0</x:v>
      </x:c>
      <x:c r="C33" s="362" t="n">
        <x:v>0</x:v>
      </x:c>
      <x:c r="D33" s="361" t="n">
        <x:v>0</x:v>
      </x:c>
      <x:c r="E33" s="361" t="n">
        <x:v>0</x:v>
      </x:c>
      <x:c r="F33" s="169" t="n">
        <x:f>MAX(0,B33)*MAX(0,C33)*'Campaign Scenarios'!$B$18</x:f>
        <x:v>0</x:v>
      </x:c>
      <x:c r="G33" s="169" t="n">
        <x:f>MAX(0,B33)*MAX(0,C33)*MAX(0,D33)</x:f>
        <x:v>0</x:v>
      </x:c>
      <x:c r="H33" s="169" t="n">
        <x:f>MAX(0,B33)*MAX(0,C33)*MAX(0,E33)</x:f>
        <x:v>0</x:v>
      </x:c>
      <x:c r="I33" s="361" t="n">
        <x:v>0</x:v>
      </x:c>
      <x:c r="J33" s="361" t="n">
        <x:v>0</x:v>
      </x:c>
      <x:c r="K33" s="361" t="n">
        <x:v>0</x:v>
      </x:c>
      <x:c r="L33" s="169" t="n">
        <x:f>SUM(F33:K33)</x:f>
        <x:v>0</x:v>
      </x:c>
      <x:c r="M33" s="170" t="str">
        <x:v>Beyond day 30 only; supplies stay physical. Avoid duplicate quotes.</x:v>
      </x:c>
      <x:c r="N33" s="10"/>
      <x:c r="O33" s="10"/>
      <x:c r="P33" s="10"/>
      <x:c r="Q33" s="10"/>
      <x:c r="R33" s="10"/>
      <x:c r="S33" s="10"/>
      <x:c r="T33" s="10"/>
      <x:c r="U33" s="10"/>
    </x:row>
    <x:row r="34" ht="60" customHeight="1">
      <x:c r="A34" s="165" t="str">
        <x:v>Stage 6: Vehicle and optional orbital support</x:v>
      </x:c>
      <x:c r="B34" s="362" t="n">
        <x:v>0</x:v>
      </x:c>
      <x:c r="C34" s="362" t="n">
        <x:v>0</x:v>
      </x:c>
      <x:c r="D34" s="361" t="n">
        <x:v>0</x:v>
      </x:c>
      <x:c r="E34" s="361" t="n">
        <x:v>0</x:v>
      </x:c>
      <x:c r="F34" s="169" t="n">
        <x:f>MAX(0,B34)*MAX(0,C34)*'Campaign Scenarios'!$B$18</x:f>
        <x:v>0</x:v>
      </x:c>
      <x:c r="G34" s="169" t="n">
        <x:f>MAX(0,B34)*MAX(0,C34)*MAX(0,D34)</x:f>
        <x:v>0</x:v>
      </x:c>
      <x:c r="H34" s="169" t="n">
        <x:f>MAX(0,B34)*MAX(0,C34)*MAX(0,E34)</x:f>
        <x:v>0</x:v>
      </x:c>
      <x:c r="I34" s="361" t="n">
        <x:v>0</x:v>
      </x:c>
      <x:c r="J34" s="361" t="n">
        <x:v>0</x:v>
      </x:c>
      <x:c r="K34" s="361" t="n">
        <x:v>0</x:v>
      </x:c>
      <x:c r="L34" s="169" t="n">
        <x:f>SUM(F34:K34)</x:f>
        <x:v>0</x:v>
      </x:c>
      <x:c r="M34" s="170" t="str">
        <x:v>Beyond day 30 only; supplies stay physical. Avoid duplicate quotes.</x:v>
      </x:c>
      <x:c r="N34" s="10"/>
      <x:c r="O34" s="10"/>
      <x:c r="P34" s="10"/>
      <x:c r="Q34" s="10"/>
      <x:c r="R34" s="10"/>
      <x:c r="S34" s="10"/>
      <x:c r="T34" s="10"/>
      <x:c r="U34" s="10"/>
    </x:row>
    <x:row r="35" ht="60" customHeight="1">
      <x:c r="A35" s="165" t="str">
        <x:v>Stage 7: Deep-site operations</x:v>
      </x:c>
      <x:c r="B35" s="362" t="n">
        <x:v>0</x:v>
      </x:c>
      <x:c r="C35" s="362" t="n">
        <x:v>0</x:v>
      </x:c>
      <x:c r="D35" s="361" t="n">
        <x:v>0</x:v>
      </x:c>
      <x:c r="E35" s="361" t="n">
        <x:v>0</x:v>
      </x:c>
      <x:c r="F35" s="169" t="n">
        <x:f>MAX(0,B35)*MAX(0,C35)*'Campaign Scenarios'!$B$18</x:f>
        <x:v>0</x:v>
      </x:c>
      <x:c r="G35" s="169" t="n">
        <x:f>MAX(0,B35)*MAX(0,C35)*MAX(0,D35)</x:f>
        <x:v>0</x:v>
      </x:c>
      <x:c r="H35" s="169" t="n">
        <x:f>MAX(0,B35)*MAX(0,C35)*MAX(0,E35)</x:f>
        <x:v>0</x:v>
      </x:c>
      <x:c r="I35" s="361" t="n">
        <x:v>0</x:v>
      </x:c>
      <x:c r="J35" s="361" t="n">
        <x:v>0</x:v>
      </x:c>
      <x:c r="K35" s="361" t="n">
        <x:v>0</x:v>
      </x:c>
      <x:c r="L35" s="169" t="n">
        <x:f>SUM(F35:K35)</x:f>
        <x:v>0</x:v>
      </x:c>
      <x:c r="M35" s="170" t="str">
        <x:v>Beyond day 30 only; supplies stay physical. Avoid duplicate quotes.</x:v>
      </x:c>
      <x:c r="N35" s="10"/>
      <x:c r="O35" s="10"/>
      <x:c r="P35" s="10"/>
      <x:c r="Q35" s="10"/>
      <x:c r="R35" s="10"/>
      <x:c r="S35" s="10"/>
      <x:c r="T35" s="10"/>
      <x:c r="U35" s="10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  <x:c r="T36" s="10"/>
      <x:c r="U36" s="10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0"/>
      <x:c r="U37" s="10"/>
    </x:row>
    <x:row r="38">
      <x:c r="A38" s="351" t="str">
        <x:v>No-contract recovery: costs still committed and receipts actually realized</x:v>
      </x:c>
      <x:c r="B38" s="351"/>
      <x:c r="C38" s="351"/>
      <x:c r="D38" s="351"/>
      <x:c r="E38" s="351"/>
      <x:c r="F38" s="351"/>
      <x:c r="G38" s="351"/>
      <x:c r="H38" s="351"/>
      <x:c r="I38" s="351"/>
      <x:c r="J38" s="351"/>
      <x:c r="K38" s="351"/>
      <x:c r="L38" s="351"/>
      <x:c r="M38" s="351"/>
      <x:c r="N38" s="351"/>
      <x:c r="O38" s="351"/>
      <x:c r="P38" s="351"/>
      <x:c r="Q38" s="351"/>
      <x:c r="R38" s="351"/>
      <x:c r="S38" s="351"/>
      <x:c r="T38" s="351"/>
      <x:c r="U38" s="351"/>
    </x:row>
    <x:row r="39" ht="72" customHeight="1">
      <x:c r="A39" s="353" t="str">
        <x:v>Campaign stage</x:v>
      </x:c>
      <x:c r="B39" s="353" t="str">
        <x:v>Penalty contracts still due (count)</x:v>
      </x:c>
      <x:c r="C39" s="353" t="str">
        <x:v>Penalty claimed per contract (USD)</x:v>
      </x:c>
      <x:c r="D39" s="353" t="str">
        <x:v>Average contract value cap basis (USD)</x:v>
      </x:c>
      <x:c r="E39" s="353" t="str">
        <x:v>Capped penalty still due (USD)</x:v>
      </x:c>
      <x:c r="F39" s="353" t="str">
        <x:v>Cargo/crew response and rescue still due (USD)</x:v>
      </x:c>
      <x:c r="G39" s="353" t="str">
        <x:v>Replacement orders still committed (USD)</x:v>
      </x:c>
      <x:c r="H39" s="353" t="str">
        <x:v>Vehicle/gravship commitment still due (USD)</x:v>
      </x:c>
      <x:c r="I39" s="353" t="str">
        <x:v>Additional outpost hires outside retained payroll (FTE)</x:v>
      </x:c>
      <x:c r="J39" s="353" t="str">
        <x:v>Outpost security/defense due (USD)</x:v>
      </x:c>
      <x:c r="K39" s="353" t="str">
        <x:v>Outpost resupply shipments due (count)</x:v>
      </x:c>
      <x:c r="L39" s="353" t="str">
        <x:v>Invoice per shipment (USD)</x:v>
      </x:c>
      <x:c r="M39" s="353" t="str">
        <x:v>Additional communications due (USD)</x:v>
      </x:c>
      <x:c r="N39" s="353" t="str">
        <x:v>Outpost evacuation/closure reserve due (USD)</x:v>
      </x:c>
      <x:c r="O39" s="353" t="str">
        <x:v>Long expedition extension still committed (USD)</x:v>
      </x:c>
      <x:c r="P39" s="353" t="str">
        <x:v>Service receipts actually collected in recovery (USD)</x:v>
      </x:c>
      <x:c r="Q39" s="353" t="str">
        <x:v>Lease receipts actually earned in recovery (USD)</x:v>
      </x:c>
      <x:c r="R39" s="353" t="str">
        <x:v>Accepted claim reimbursement collected (USD)</x:v>
      </x:c>
      <x:c r="S39" s="353" t="str">
        <x:v>Total recovery additions cost (USD)</x:v>
      </x:c>
      <x:c r="T39" s="353" t="str">
        <x:v>Total recovery receipts (USD)</x:v>
      </x:c>
      <x:c r="U39" s="353" t="str">
        <x:v>Basis / status</x:v>
      </x:c>
    </x:row>
    <x:row r="40" ht="60" customHeight="1">
      <x:c r="A40" s="313" t="str">
        <x:v>Stage 1: First safe survey</x:v>
      </x:c>
      <x:c r="B40" s="369" t="n">
        <x:v>0</x:v>
      </x:c>
      <x:c r="C40" s="366" t="n">
        <x:v>0</x:v>
      </x:c>
      <x:c r="D40" s="310" t="n">
        <x:f>J7</x:f>
        <x:v>5000000</x:v>
      </x:c>
      <x:c r="E40" s="310" t="n">
        <x:f>MAX(0,B40)*MIN(MAX(0,C40),MAX(0,D40)*25%)</x:f>
        <x:v>0</x:v>
      </x:c>
      <x:c r="F40" s="366" t="n">
        <x:v>0</x:v>
      </x:c>
      <x:c r="G40" s="366" t="n">
        <x:v>0</x:v>
      </x:c>
      <x:c r="H40" s="366" t="n">
        <x:v>0</x:v>
      </x:c>
      <x:c r="I40" s="365" t="n">
        <x:v>0</x:v>
      </x:c>
      <x:c r="J40" s="366" t="n">
        <x:v>0</x:v>
      </x:c>
      <x:c r="K40" s="365" t="n">
        <x:v>0</x:v>
      </x:c>
      <x:c r="L40" s="366" t="n">
        <x:v>0</x:v>
      </x:c>
      <x:c r="M40" s="366" t="n">
        <x:v>0</x:v>
      </x:c>
      <x:c r="N40" s="366" t="n">
        <x:v>0</x:v>
      </x:c>
      <x:c r="O40" s="366" t="n">
        <x:v>0</x:v>
      </x:c>
      <x:c r="P40" s="366" t="n">
        <x:v>0</x:v>
      </x:c>
      <x:c r="Q40" s="366" t="n">
        <x:v>0</x:v>
      </x:c>
      <x:c r="R40" s="366" t="n">
        <x:v>0</x:v>
      </x:c>
      <x:c r="S40" s="310" t="n">
        <x:f>E40+F40+G40+H40+MAX(0,I40)*(30*'Economy'!$C$34+'Economy'!$C$45)+J40+K40*L40+M40+N40+O40</x:f>
        <x:v>0</x:v>
      </x:c>
      <x:c r="T40" s="310" t="n">
        <x:f>SUM(P40:R40)</x:f>
        <x:v>0</x:v>
      </x:c>
      <x:c r="U40" s="301" t="str">
        <x:v>Enter binding commitments only. Payroll remains on Recovery &amp; Capital.</x:v>
      </x:c>
    </x:row>
    <x:row r="41" ht="60" customHeight="1">
      <x:c r="A41" s="165" t="str">
        <x:v>Stage 2: Repeat access</x:v>
      </x:c>
      <x:c r="B41" s="370" t="n">
        <x:v>0</x:v>
      </x:c>
      <x:c r="C41" s="361" t="n">
        <x:v>0</x:v>
      </x:c>
      <x:c r="D41" s="169" t="n">
        <x:f>J8</x:f>
        <x:v>2500000</x:v>
      </x:c>
      <x:c r="E41" s="169" t="n">
        <x:f>MAX(0,B41)*MIN(MAX(0,C41),MAX(0,D41)*25%)</x:f>
        <x:v>0</x:v>
      </x:c>
      <x:c r="F41" s="361" t="n">
        <x:v>0</x:v>
      </x:c>
      <x:c r="G41" s="361" t="n">
        <x:v>0</x:v>
      </x:c>
      <x:c r="H41" s="361" t="n">
        <x:v>0</x:v>
      </x:c>
      <x:c r="I41" s="362" t="n">
        <x:v>0</x:v>
      </x:c>
      <x:c r="J41" s="361" t="n">
        <x:v>0</x:v>
      </x:c>
      <x:c r="K41" s="362" t="n">
        <x:v>0</x:v>
      </x:c>
      <x:c r="L41" s="361" t="n">
        <x:v>0</x:v>
      </x:c>
      <x:c r="M41" s="361" t="n">
        <x:v>0</x:v>
      </x:c>
      <x:c r="N41" s="361" t="n">
        <x:v>0</x:v>
      </x:c>
      <x:c r="O41" s="361" t="n">
        <x:v>0</x:v>
      </x:c>
      <x:c r="P41" s="361" t="n">
        <x:v>0</x:v>
      </x:c>
      <x:c r="Q41" s="361" t="n">
        <x:v>0</x:v>
      </x:c>
      <x:c r="R41" s="361" t="n">
        <x:v>0</x:v>
      </x:c>
      <x:c r="S41" s="169" t="n">
        <x:f>E41+F41+G41+H41+MAX(0,I41)*(30*'Campaign Scenarios'!$B$18+'Campaign Scenarios'!$B$21)+J41+K41*L41+M41+N41+O41</x:f>
        <x:v>0</x:v>
      </x:c>
      <x:c r="T41" s="169" t="n">
        <x:f>SUM(P41:R41)</x:f>
        <x:v>0</x:v>
      </x:c>
      <x:c r="U41" s="170" t="str">
        <x:v>Enter binding commitments only. Payroll remains on Recovery &amp; Capital.</x:v>
      </x:c>
    </x:row>
    <x:row r="42" ht="60" customHeight="1">
      <x:c r="A42" s="165" t="str">
        <x:v>Stage 3: Specialist services</x:v>
      </x:c>
      <x:c r="B42" s="370" t="n">
        <x:v>0</x:v>
      </x:c>
      <x:c r="C42" s="361" t="n">
        <x:v>0</x:v>
      </x:c>
      <x:c r="D42" s="169" t="n">
        <x:f>J9</x:f>
        <x:v>10000000</x:v>
      </x:c>
      <x:c r="E42" s="169" t="n">
        <x:f>MAX(0,B42)*MIN(MAX(0,C42),MAX(0,D42)*25%)</x:f>
        <x:v>0</x:v>
      </x:c>
      <x:c r="F42" s="361" t="n">
        <x:v>0</x:v>
      </x:c>
      <x:c r="G42" s="361" t="n">
        <x:v>0</x:v>
      </x:c>
      <x:c r="H42" s="361" t="n">
        <x:v>0</x:v>
      </x:c>
      <x:c r="I42" s="362" t="n">
        <x:v>0</x:v>
      </x:c>
      <x:c r="J42" s="361" t="n">
        <x:v>0</x:v>
      </x:c>
      <x:c r="K42" s="362" t="n">
        <x:v>0</x:v>
      </x:c>
      <x:c r="L42" s="361" t="n">
        <x:v>0</x:v>
      </x:c>
      <x:c r="M42" s="361" t="n">
        <x:v>0</x:v>
      </x:c>
      <x:c r="N42" s="361" t="n">
        <x:v>0</x:v>
      </x:c>
      <x:c r="O42" s="361" t="n">
        <x:v>0</x:v>
      </x:c>
      <x:c r="P42" s="361" t="n">
        <x:v>0</x:v>
      </x:c>
      <x:c r="Q42" s="361" t="n">
        <x:v>0</x:v>
      </x:c>
      <x:c r="R42" s="361" t="n">
        <x:v>0</x:v>
      </x:c>
      <x:c r="S42" s="169" t="n">
        <x:f>E42+F42+G42+H42+MAX(0,I42)*(30*'Campaign Scenarios'!$B$18+'Campaign Scenarios'!$B$21)+J42+K42*L42+M42+N42+O42</x:f>
        <x:v>0</x:v>
      </x:c>
      <x:c r="T42" s="169" t="n">
        <x:f>SUM(P42:R42)</x:f>
        <x:v>0</x:v>
      </x:c>
      <x:c r="U42" s="170" t="str">
        <x:v>Enter binding commitments only. Payroll remains on Recovery &amp; Capital.</x:v>
      </x:c>
    </x:row>
    <x:row r="43" ht="60" customHeight="1">
      <x:c r="A43" s="165" t="str">
        <x:v>Stage 4: Leases and remote sites</x:v>
      </x:c>
      <x:c r="B43" s="370" t="n">
        <x:v>0</x:v>
      </x:c>
      <x:c r="C43" s="361" t="n">
        <x:v>0</x:v>
      </x:c>
      <x:c r="D43" s="169" t="n">
        <x:f>J10</x:f>
        <x:v>25000000</x:v>
      </x:c>
      <x:c r="E43" s="169" t="n">
        <x:f>MAX(0,B43)*MIN(MAX(0,C43),MAX(0,D43)*25%)</x:f>
        <x:v>0</x:v>
      </x:c>
      <x:c r="F43" s="361" t="n">
        <x:v>0</x:v>
      </x:c>
      <x:c r="G43" s="361" t="n">
        <x:v>0</x:v>
      </x:c>
      <x:c r="H43" s="361" t="n">
        <x:v>0</x:v>
      </x:c>
      <x:c r="I43" s="362" t="n">
        <x:v>0</x:v>
      </x:c>
      <x:c r="J43" s="361" t="n">
        <x:v>0</x:v>
      </x:c>
      <x:c r="K43" s="362" t="n">
        <x:v>0</x:v>
      </x:c>
      <x:c r="L43" s="361" t="n">
        <x:v>0</x:v>
      </x:c>
      <x:c r="M43" s="361" t="n">
        <x:v>0</x:v>
      </x:c>
      <x:c r="N43" s="361" t="n">
        <x:v>0</x:v>
      </x:c>
      <x:c r="O43" s="361" t="n">
        <x:v>0</x:v>
      </x:c>
      <x:c r="P43" s="361" t="n">
        <x:v>0</x:v>
      </x:c>
      <x:c r="Q43" s="361" t="n">
        <x:v>0</x:v>
      </x:c>
      <x:c r="R43" s="361" t="n">
        <x:v>0</x:v>
      </x:c>
      <x:c r="S43" s="169" t="n">
        <x:f>E43+F43+G43+H43+MAX(0,I43)*(30*'Campaign Scenarios'!$B$18+'Campaign Scenarios'!$B$21)+J43+K43*L43+M43+N43+O43</x:f>
        <x:v>0</x:v>
      </x:c>
      <x:c r="T43" s="169" t="n">
        <x:f>SUM(P43:R43)</x:f>
        <x:v>0</x:v>
      </x:c>
      <x:c r="U43" s="170" t="str">
        <x:v>Enter binding commitments only. Payroll remains on Recovery &amp; Capital.</x:v>
      </x:c>
    </x:row>
    <x:row r="44" ht="60" customHeight="1">
      <x:c r="A44" s="165" t="str">
        <x:v>Stage 5: Large recovery and network work</x:v>
      </x:c>
      <x:c r="B44" s="370" t="n">
        <x:v>0</x:v>
      </x:c>
      <x:c r="C44" s="361" t="n">
        <x:v>0</x:v>
      </x:c>
      <x:c r="D44" s="169" t="n">
        <x:f>J11</x:f>
        <x:v>75000000</x:v>
      </x:c>
      <x:c r="E44" s="169" t="n">
        <x:f>MAX(0,B44)*MIN(MAX(0,C44),MAX(0,D44)*25%)</x:f>
        <x:v>0</x:v>
      </x:c>
      <x:c r="F44" s="361" t="n">
        <x:v>0</x:v>
      </x:c>
      <x:c r="G44" s="361" t="n">
        <x:v>0</x:v>
      </x:c>
      <x:c r="H44" s="361" t="n">
        <x:v>0</x:v>
      </x:c>
      <x:c r="I44" s="362" t="n">
        <x:v>0</x:v>
      </x:c>
      <x:c r="J44" s="361" t="n">
        <x:v>0</x:v>
      </x:c>
      <x:c r="K44" s="362" t="n">
        <x:v>0</x:v>
      </x:c>
      <x:c r="L44" s="361" t="n">
        <x:v>0</x:v>
      </x:c>
      <x:c r="M44" s="361" t="n">
        <x:v>0</x:v>
      </x:c>
      <x:c r="N44" s="361" t="n">
        <x:v>0</x:v>
      </x:c>
      <x:c r="O44" s="361" t="n">
        <x:v>0</x:v>
      </x:c>
      <x:c r="P44" s="361" t="n">
        <x:v>0</x:v>
      </x:c>
      <x:c r="Q44" s="361" t="n">
        <x:v>0</x:v>
      </x:c>
      <x:c r="R44" s="361" t="n">
        <x:v>0</x:v>
      </x:c>
      <x:c r="S44" s="169" t="n">
        <x:f>E44+F44+G44+H44+MAX(0,I44)*(30*'Campaign Scenarios'!$B$18+'Campaign Scenarios'!$B$21)+J44+K44*L44+M44+N44+O44</x:f>
        <x:v>0</x:v>
      </x:c>
      <x:c r="T44" s="169" t="n">
        <x:f>SUM(P44:R44)</x:f>
        <x:v>0</x:v>
      </x:c>
      <x:c r="U44" s="170" t="str">
        <x:v>Enter binding commitments only. Payroll remains on Recovery &amp; Capital.</x:v>
      </x:c>
    </x:row>
    <x:row r="45" ht="60" customHeight="1">
      <x:c r="A45" s="165" t="str">
        <x:v>Stage 6: Vehicle and optional orbital support</x:v>
      </x:c>
      <x:c r="B45" s="370" t="n">
        <x:v>0</x:v>
      </x:c>
      <x:c r="C45" s="361" t="n">
        <x:v>0</x:v>
      </x:c>
      <x:c r="D45" s="169" t="n">
        <x:f>J12</x:f>
        <x:v>150000000</x:v>
      </x:c>
      <x:c r="E45" s="169" t="n">
        <x:f>MAX(0,B45)*MIN(MAX(0,C45),MAX(0,D45)*25%)</x:f>
        <x:v>0</x:v>
      </x:c>
      <x:c r="F45" s="361" t="n">
        <x:v>0</x:v>
      </x:c>
      <x:c r="G45" s="361" t="n">
        <x:v>0</x:v>
      </x:c>
      <x:c r="H45" s="361" t="n">
        <x:v>0</x:v>
      </x:c>
      <x:c r="I45" s="362" t="n">
        <x:v>0</x:v>
      </x:c>
      <x:c r="J45" s="361" t="n">
        <x:v>0</x:v>
      </x:c>
      <x:c r="K45" s="362" t="n">
        <x:v>0</x:v>
      </x:c>
      <x:c r="L45" s="361" t="n">
        <x:v>0</x:v>
      </x:c>
      <x:c r="M45" s="361" t="n">
        <x:v>0</x:v>
      </x:c>
      <x:c r="N45" s="361" t="n">
        <x:v>0</x:v>
      </x:c>
      <x:c r="O45" s="361" t="n">
        <x:v>0</x:v>
      </x:c>
      <x:c r="P45" s="361" t="n">
        <x:v>0</x:v>
      </x:c>
      <x:c r="Q45" s="361" t="n">
        <x:v>0</x:v>
      </x:c>
      <x:c r="R45" s="361" t="n">
        <x:v>0</x:v>
      </x:c>
      <x:c r="S45" s="169" t="n">
        <x:f>E45+F45+G45+H45+MAX(0,I45)*(30*'Campaign Scenarios'!$B$18+'Campaign Scenarios'!$B$21)+J45+K45*L45+M45+N45+O45</x:f>
        <x:v>0</x:v>
      </x:c>
      <x:c r="T45" s="169" t="n">
        <x:f>SUM(P45:R45)</x:f>
        <x:v>0</x:v>
      </x:c>
      <x:c r="U45" s="170" t="str">
        <x:v>Enter binding commitments only. Payroll remains on Recovery &amp; Capital.</x:v>
      </x:c>
    </x:row>
    <x:row r="46" ht="60" customHeight="1">
      <x:c r="A46" s="165" t="str">
        <x:v>Stage 7: Deep-site operations</x:v>
      </x:c>
      <x:c r="B46" s="370" t="n">
        <x:v>0</x:v>
      </x:c>
      <x:c r="C46" s="361" t="n">
        <x:v>0</x:v>
      </x:c>
      <x:c r="D46" s="169" t="n">
        <x:f>J13</x:f>
        <x:v>300000000</x:v>
      </x:c>
      <x:c r="E46" s="169" t="n">
        <x:f>MAX(0,B46)*MIN(MAX(0,C46),MAX(0,D46)*25%)</x:f>
        <x:v>0</x:v>
      </x:c>
      <x:c r="F46" s="361" t="n">
        <x:v>0</x:v>
      </x:c>
      <x:c r="G46" s="361" t="n">
        <x:v>0</x:v>
      </x:c>
      <x:c r="H46" s="361" t="n">
        <x:v>0</x:v>
      </x:c>
      <x:c r="I46" s="362" t="n">
        <x:v>0</x:v>
      </x:c>
      <x:c r="J46" s="361" t="n">
        <x:v>0</x:v>
      </x:c>
      <x:c r="K46" s="362" t="n">
        <x:v>0</x:v>
      </x:c>
      <x:c r="L46" s="361" t="n">
        <x:v>0</x:v>
      </x:c>
      <x:c r="M46" s="361" t="n">
        <x:v>0</x:v>
      </x:c>
      <x:c r="N46" s="361" t="n">
        <x:v>0</x:v>
      </x:c>
      <x:c r="O46" s="361" t="n">
        <x:v>0</x:v>
      </x:c>
      <x:c r="P46" s="361" t="n">
        <x:v>0</x:v>
      </x:c>
      <x:c r="Q46" s="361" t="n">
        <x:v>0</x:v>
      </x:c>
      <x:c r="R46" s="361" t="n">
        <x:v>0</x:v>
      </x:c>
      <x:c r="S46" s="169" t="n">
        <x:f>E46+F46+G46+H46+MAX(0,I46)*(30*'Campaign Scenarios'!$B$18+'Campaign Scenarios'!$B$21)+J46+K46*L46+M46+N46+O46</x:f>
        <x:v>0</x:v>
      </x:c>
      <x:c r="T46" s="169" t="n">
        <x:f>SUM(P46:R46)</x:f>
        <x:v>0</x:v>
      </x:c>
      <x:c r="U46" s="170" t="str">
        <x:v>Enter binding commitments only. Payroll remains on Recovery &amp; Capital.</x:v>
      </x:c>
    </x:row>
  </x:sheetData>
  <x:pageMargins left="0.7" right="0.7" top="0.75" bottom="0.75" header="0.3" footer="0.3"/>
</x:worksheet>
</file>