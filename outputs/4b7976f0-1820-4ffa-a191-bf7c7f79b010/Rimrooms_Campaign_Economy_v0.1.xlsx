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07839f7cd4e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conomy" sheetId="1" r:id="R54e11db49a034a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(#,##0);-"/>
    <x:numFmt numFmtId="201" formatCode="#,##0.0"/>
    <x:numFmt numFmtId="202" formatCode="0.0"/>
  </x:numFmts>
  <x:fonts count="8">
    <x:font>
      <x:sz val="11"/>
      <x:name val="Carlito"/>
    </x:font>
    <x:font>
      <x:sz val="10"/>
      <x:color rgb="FF1F2937"/>
      <x:name val="Arial"/>
    </x:font>
    <x:font>
      <x:b/>
      <x:sz val="14"/>
      <x:color rgb="FF182C3D"/>
      <x:name val="Arial"/>
    </x:font>
    <x:font>
      <x:i/>
      <x:sz val="10"/>
      <x:color rgb="FF526170"/>
      <x:name val="Arial"/>
    </x:font>
    <x:font>
      <x:b/>
      <x:sz val="10"/>
      <x:color rgb="FF182C3D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i/>
      <x:sz val="9"/>
      <x:color rgb="FF52617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>
      <x:bottom style="double">
        <x:color rgb="FF1F4E7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/>
    <x:xf numFmtId="202" fontId="6" fillId="4" borderId="0" xfId="0" applyNumberFormat="1" applyFont="1" applyFill="1" applyBorder="1"/>
    <x:xf numFmtId="200" fontId="6" fillId="4" borderId="0" xfId="0" applyNumberFormat="1" applyFont="1" applyFill="1" applyBorder="1" applyAlignment="1">
      <x:alignment horizontal="right"/>
    </x:xf>
    <x:xf numFmtId="202" fontId="6" fillId="4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horizontal="right" vertical="center"/>
    </x:xf>
    <x:xf numFmtId="202" fontId="6" fillId="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a3eede98ed41c0" /><Relationship Type="http://schemas.openxmlformats.org/officeDocument/2006/relationships/theme" Target="/xl/theme/theme1.xml" Id="R306c9df4c5934ed5" /><Relationship Type="http://schemas.openxmlformats.org/officeDocument/2006/relationships/sharedStrings" Target="/xl/sharedStrings.xml" Id="R359caa6dceb64097" /><Relationship Type="http://schemas.openxmlformats.org/officeDocument/2006/relationships/worksheet" Target="/xl/worksheets/sheet1.xml" Id="R54e11db49a034a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2" hidden="0" customWidth="1"/>
    <x:col min="2" max="2" width="34" hidden="0" customWidth="1"/>
    <x:col min="3" max="3" width="52" hidden="0" customWidth="1"/>
    <x:col min="4" max="4" width="22" hidden="0" customWidth="1"/>
    <x:col min="5" max="5" width="44" hidden="0" customWidth="1"/>
  </x:cols>
  <x:sheetData>
    <x:row r="1" ht="18" customHeight="1">
      <x:c r="A1" s="1"/>
      <x:c r="B1" s="1"/>
      <x:c r="C1" s="1"/>
      <x:c r="D1" s="1"/>
      <x:c r="E1" s="1"/>
    </x:row>
    <x:row r="2" ht="18" customHeight="1">
      <x:c r="A2" s="2" t="str">
        <x:v>Rimrooms - Async Industries: economy v0.1</x:v>
      </x:c>
      <x:c r="B2" s="2"/>
      <x:c r="C2" s="2"/>
      <x:c r="D2" s="2"/>
      <x:c r="E2" s="2"/>
    </x:row>
    <x:row r="3" ht="18" customHeight="1">
      <x:c r="A3" s="3" t="str">
        <x:v>30-day Async Industries opening cash model. Editable hypotheses, not tested play balance.</x:v>
      </x:c>
      <x:c r="B3" s="3"/>
      <x:c r="C3" s="3"/>
      <x:c r="D3" s="3"/>
      <x:c r="E3" s="3"/>
    </x:row>
    <x:row r="4" ht="18" customHeight="1">
      <x:c r="A4" s="1"/>
      <x:c r="B4" s="1"/>
      <x:c r="C4" s="1"/>
      <x:c r="D4" s="1"/>
      <x:c r="E4" s="1"/>
    </x:row>
    <x:row r="5" ht="18" customHeight="1">
      <x:c r="A5" s="5" t="str">
        <x:v>30-day opening forecast</x:v>
      </x:c>
      <x:c r="B5" s="5"/>
      <x:c r="C5" s="5"/>
      <x:c r="D5" s="1"/>
      <x:c r="E5" s="1"/>
    </x:row>
    <x:row r="6" ht="18" customHeight="1">
      <x:c r="A6" s="7" t="str">
        <x:v>Metric</x:v>
      </x:c>
      <x:c r="B6" s="7" t="str">
        <x:v>Value</x:v>
      </x:c>
      <x:c r="C6" s="7" t="str">
        <x:v>Explanation</x:v>
      </x:c>
      <x:c r="D6" s="1"/>
      <x:c r="E6" s="1"/>
    </x:row>
    <x:row r="7" ht="18" customHeight="1">
      <x:c r="A7" s="21" t="str">
        <x:v>Starting company credits</x:v>
      </x:c>
      <x:c r="B7" s="22" t="n">
        <x:f>C31</x:f>
        <x:v>900</x:v>
      </x:c>
      <x:c r="C7" s="21" t="str">
        <x:v>Opening branch balance.</x:v>
      </x:c>
      <x:c r="D7" s="1"/>
      <x:c r="E7" s="1"/>
    </x:row>
    <x:row r="8" ht="18" customHeight="1">
      <x:c r="A8" s="21" t="str">
        <x:v>Onboarding survey payments</x:v>
      </x:c>
      <x:c r="B8" s="22" t="n">
        <x:f>C38*C39</x:f>
        <x:v>240</x:v>
      </x:c>
      <x:c r="C8" s="21" t="str">
        <x:v>Paid once after valid extraction and evidence delivery.</x:v>
      </x:c>
      <x:c r="D8" s="1"/>
      <x:c r="E8" s="1"/>
    </x:row>
    <x:row r="9" ht="18" customHeight="1">
      <x:c r="A9" s="21" t="str">
        <x:v>Safety and documentation bonus</x:v>
      </x:c>
      <x:c r="B9" s="22" t="n">
        <x:f>C40*C41</x:f>
        <x:v>0</x:v>
      </x:c>
      <x:c r="C9" s="21" t="str">
        <x:v>Set to zero in the opening forecast; the bonus is optional.</x:v>
      </x:c>
      <x:c r="D9" s="1"/>
      <x:c r="E9" s="1"/>
    </x:row>
    <x:row r="10" ht="18" customHeight="1">
      <x:c r="A10" s="21" t="str">
        <x:v>Payroll</x:v>
      </x:c>
      <x:c r="B10" s="22" t="n">
        <x:f>-C33*C34*C32</x:f>
        <x:v>-300</x:v>
      </x:c>
      <x:c r="C10" s="21" t="str">
        <x:v>Starting staff × daily pay × forecast days.</x:v>
      </x:c>
      <x:c r="D10" s="1"/>
      <x:c r="E10" s="1"/>
    </x:row>
    <x:row r="11" ht="18" customHeight="1">
      <x:c r="A11" s="21" t="str">
        <x:v>Headquarters overhead</x:v>
      </x:c>
      <x:c r="B11" s="22" t="n">
        <x:f>-C35*C32</x:f>
        <x:v>-120</x:v>
      </x:c>
      <x:c r="C11" s="21" t="str">
        <x:v>Routine company overhead; excludes physical fuel and materials.</x:v>
      </x:c>
      <x:c r="D11" s="1"/>
      <x:c r="E11" s="1"/>
    </x:row>
    <x:row r="12" ht="18" customHeight="1">
      <x:c r="A12" s="21" t="str">
        <x:v>Food resupply</x:v>
      </x:c>
      <x:c r="B12" s="22" t="n">
        <x:f>-MAX(0,C32-C36)*C33*C37</x:f>
        <x:v>-125</x:v>
      </x:c>
      <x:c r="C12" s="21" t="str">
        <x:v>Only days beyond the starter food coverage are purchased.</x:v>
      </x:c>
      <x:c r="D12" s="1"/>
      <x:c r="E12" s="1"/>
    </x:row>
    <x:row r="13" ht="18" customHeight="1">
      <x:c r="A13" s="21" t="str">
        <x:v>New-hire setup</x:v>
      </x:c>
      <x:c r="B13" s="22" t="n">
        <x:f>-C44*C45</x:f>
        <x:v>0</x:v>
      </x:c>
      <x:c r="C13" s="21" t="str">
        <x:v>New hires only; the starting five are already rostered.</x:v>
      </x:c>
      <x:c r="D13" s="1"/>
      <x:c r="E13" s="1"/>
    </x:row>
    <x:row r="14" ht="18" customHeight="1">
      <x:c r="A14" s="21" t="str">
        <x:v>Survey-kit restock</x:v>
      </x:c>
      <x:c r="B14" s="22" t="n">
        <x:f>-C46*C47</x:f>
        <x:v>0</x:v>
      </x:c>
      <x:c r="C14" s="21" t="str">
        <x:v>Physical resupply shipments only; no charge until ordered.</x:v>
      </x:c>
      <x:c r="D14" s="1"/>
      <x:c r="E14" s="1"/>
    </x:row>
    <x:row r="15" ht="18" customHeight="1">
      <x:c r="A15" s="21" t="str">
        <x:v>Research-material orders</x:v>
      </x:c>
      <x:c r="B15" s="22" t="n">
        <x:f>-C48*C49</x:f>
        <x:v>0</x:v>
      </x:c>
      <x:c r="C15" s="21" t="str">
        <x:v>Physical research supplies only; no charge until ordered.</x:v>
      </x:c>
      <x:c r="D15" s="1"/>
      <x:c r="E15" s="1"/>
    </x:row>
    <x:row r="16" ht="18" customHeight="1">
      <x:c r="A16" s="21" t="str">
        <x:v>Outpost lease and operation</x:v>
      </x:c>
      <x:c r="B16" s="22" t="n">
        <x:f>-C50*C51</x:f>
        <x:v>0</x:v>
      </x:c>
      <x:c r="C16" s="21" t="str">
        <x:v>No outpost cost until an outpost is active.</x:v>
      </x:c>
      <x:c r="D16" s="1"/>
      <x:c r="E16" s="1"/>
    </x:row>
    <x:row r="17" ht="18" customHeight="1">
      <x:c r="A17" s="21" t="str">
        <x:v>Additional facility lease</x:v>
      </x:c>
      <x:c r="B17" s="22" t="n">
        <x:f>-C52*C53</x:f>
        <x:v>0</x:v>
      </x:c>
      <x:c r="C17" s="21" t="str">
        <x:v>No lease cost until extra space is rented.</x:v>
      </x:c>
      <x:c r="D17" s="1"/>
      <x:c r="E17" s="1"/>
    </x:row>
    <x:row r="18" ht="18" customHeight="1">
      <x:c r="A18" s="21" t="str">
        <x:v>Contract penalties</x:v>
      </x:c>
      <x:c r="B18" s="22" t="n">
        <x:f>-C42*C43</x:f>
        <x:v>0</x:v>
      </x:c>
      <x:c r="C18" s="21" t="str">
        <x:v>Only penalties explicitly shown on an accepted contract.</x:v>
      </x:c>
      <x:c r="D18" s="1"/>
      <x:c r="E18" s="1"/>
    </x:row>
    <x:row r="19" ht="18" customHeight="1">
      <x:c r="A19" s="23" t="str">
        <x:v>Ending company credits</x:v>
      </x:c>
      <x:c r="B19" s="24" t="n">
        <x:f>SUM(B7:B18)</x:f>
        <x:v>595</x:v>
      </x:c>
      <x:c r="C19" s="23" t="str">
        <x:v>Opening balance plus posted cash receipts and costs.</x:v>
      </x:c>
      <x:c r="D19" s="1"/>
      <x:c r="E19" s="1"/>
    </x:row>
    <x:row r="20" ht="18" customHeight="1">
      <x:c r="A20" s="21" t="str">
        <x:v>Steady daily outflow after starter food</x:v>
      </x:c>
      <x:c r="B20" s="25" t="n">
        <x:f>C33*C34+C35+C33*C37</x:f>
        <x:v>19</x:v>
      </x:c>
      <x:c r="C20" s="21" t="str">
        <x:v>Includes payroll, headquarters overhead, and food replenishment.</x:v>
      </x:c>
      <x:c r="D20" s="1"/>
      <x:c r="E20" s="1"/>
    </x:row>
    <x:row r="21" ht="18" customHeight="1">
      <x:c r="A21" s="21" t="str">
        <x:v>Cash runway at steady-state rate (days)</x:v>
      </x:c>
      <x:c r="B21" s="25" t="n">
        <x:f>C31/B20</x:f>
        <x:v>47.36842105263158</x:v>
      </x:c>
      <x:c r="C21" s="21" t="str">
        <x:v>Opening balance divided by steady-state daily cash outflow.</x:v>
      </x:c>
      <x:c r="D21" s="1"/>
      <x:c r="E21" s="1"/>
    </x:row>
    <x:row r="22" ht="18" customHeight="1">
      <x:c r="A22" s="21" t="str">
        <x:v>Gate capacity with 50% reserve (W)</x:v>
      </x:c>
      <x:c r="B22" s="22" t="n">
        <x:f>C55*C57</x:f>
        <x:v>3000</x:v>
      </x:c>
      <x:c r="C22" s="21" t="str">
        <x:v>Machine capacity target; power is not converted into company credits.</x:v>
      </x:c>
      <x:c r="D22" s="1"/>
      <x:c r="E22" s="1"/>
    </x:row>
    <x:row r="23" ht="18" customHeight="1">
      <x:c r="A23" s="21" t="str">
        <x:v>First opening window (minutes)</x:v>
      </x:c>
      <x:c r="B23" s="22" t="n">
        <x:f>C56</x:f>
        <x:v>20</x:v>
      </x:c>
      <x:c r="C23" s="21" t="str">
        <x:v>The first expedition duration.</x:v>
      </x:c>
      <x:c r="D23" s="1"/>
      <x:c r="E23" s="1"/>
    </x:row>
    <x:row r="24" ht="18" customHeight="1">
      <x:c r="A24" s="21" t="str">
        <x:v>Maximum field crew (pawns)</x:v>
      </x:c>
      <x:c r="B24" s="22" t="n">
        <x:f>C58</x:f>
        <x:v>3</x:v>
      </x:c>
      <x:c r="C24" s="21" t="str">
        <x:v>A qualified operator remains at headquarters.</x:v>
      </x:c>
      <x:c r="D24" s="1"/>
      <x:c r="E24" s="1"/>
    </x:row>
    <x:row r="25" ht="18" customHeight="1">
      <x:c r="A25" s="21" t="str">
        <x:v>Optional bulk cargo limit (kg)</x:v>
      </x:c>
      <x:c r="B25" s="22" t="n">
        <x:f>C59</x:f>
        <x:v>30</x:v>
      </x:c>
      <x:c r="C25" s="21" t="str">
        <x:v>Bulk salvage allowance, separate from carried field kits.</x:v>
      </x:c>
      <x:c r="D25" s="1"/>
      <x:c r="E25" s="1"/>
    </x:row>
    <x:row r="26" ht="18" customHeight="1">
      <x:c r="A26" s="21" t="str">
        <x:v>Research insight per successful survey</x:v>
      </x:c>
      <x:c r="B26" s="22" t="n">
        <x:f>C60</x:f>
        <x:v>1</x:v>
      </x:c>
      <x:c r="C26" s="21" t="str">
        <x:v>A local research input, not transferable currency.</x:v>
      </x:c>
      <x:c r="D26" s="1"/>
      <x:c r="E26" s="1"/>
    </x:row>
    <x:row r="27" ht="18" customHeight="1">
      <x:c r="A27" s="1"/>
      <x:c r="B27" s="1"/>
      <x:c r="C27" s="1"/>
      <x:c r="D27" s="1"/>
      <x:c r="E27" s="1"/>
    </x:row>
    <x:row r="28" ht="18" customHeight="1">
      <x:c r="A28" s="5" t="str">
        <x:v>Editable model inputs</x:v>
      </x:c>
      <x:c r="B28" s="5"/>
      <x:c r="C28" s="5"/>
      <x:c r="D28" s="5"/>
      <x:c r="E28" s="5"/>
    </x:row>
    <x:row r="29" ht="32" customHeight="1">
      <x:c r="A29" s="11" t="str">
        <x:v>Source: docs/CAMPAIGN_ECONOMY_MODEL.md, Async Industries opening values and First-month calculation. Scenario start values align with docs/SCENARIOS.md. All other figures are editable balance hypotheses.</x:v>
      </x:c>
      <x:c r="B29" s="11"/>
      <x:c r="C29" s="11"/>
      <x:c r="D29" s="11"/>
      <x:c r="E29" s="11"/>
    </x:row>
    <x:row r="30" ht="18" customHeight="1">
      <x:c r="A30" s="26" t="str">
        <x:v>Group</x:v>
      </x:c>
      <x:c r="B30" s="26" t="str">
        <x:v>Driver</x:v>
      </x:c>
      <x:c r="C30" s="26" t="str">
        <x:v>Value</x:v>
      </x:c>
      <x:c r="D30" s="26" t="str">
        <x:v>Unit</x:v>
      </x:c>
      <x:c r="E30" s="26" t="str">
        <x:v>Basis</x:v>
      </x:c>
    </x:row>
    <x:row r="31" ht="18" customHeight="1">
      <x:c r="A31" s="10" t="str">
        <x:v>Account</x:v>
      </x:c>
      <x:c r="B31" s="10" t="str">
        <x:v>Starting company credits</x:v>
      </x:c>
      <x:c r="C31" s="27" t="n">
        <x:v>900</x:v>
      </x:c>
      <x:c r="D31" s="10" t="str">
        <x:v>credits</x:v>
      </x:c>
      <x:c r="E31" s="21" t="str">
        <x:v>Scenario start</x:v>
      </x:c>
    </x:row>
    <x:row r="32" ht="18" customHeight="1">
      <x:c r="A32" s="10" t="str">
        <x:v>Period</x:v>
      </x:c>
      <x:c r="B32" s="10" t="str">
        <x:v>Forecast horizon</x:v>
      </x:c>
      <x:c r="C32" s="27" t="n">
        <x:v>30</x:v>
      </x:c>
      <x:c r="D32" s="10" t="str">
        <x:v>days</x:v>
      </x:c>
      <x:c r="E32" s="21" t="str">
        <x:v>Model horizon</x:v>
      </x:c>
    </x:row>
    <x:row r="33" ht="18" customHeight="1">
      <x:c r="A33" s="10" t="str">
        <x:v>Staff</x:v>
      </x:c>
      <x:c r="B33" s="10" t="str">
        <x:v>Starting roster</x:v>
      </x:c>
      <x:c r="C33" s="27" t="n">
        <x:v>5</x:v>
      </x:c>
      <x:c r="D33" s="10" t="str">
        <x:v>pawns</x:v>
      </x:c>
      <x:c r="E33" s="21" t="str">
        <x:v>Scenario start</x:v>
      </x:c>
    </x:row>
    <x:row r="34" ht="18" customHeight="1">
      <x:c r="A34" s="10" t="str">
        <x:v>Staff</x:v>
      </x:c>
      <x:c r="B34" s="10" t="str">
        <x:v>Base pay</x:v>
      </x:c>
      <x:c r="C34" s="27" t="n">
        <x:v>2</x:v>
      </x:c>
      <x:c r="D34" s="10" t="str">
        <x:v>credits / pawn / day</x:v>
      </x:c>
      <x:c r="E34" s="21" t="str">
        <x:v>First-slice hypothesis</x:v>
      </x:c>
    </x:row>
    <x:row r="35" ht="18" customHeight="1">
      <x:c r="A35" s="10" t="str">
        <x:v>Facility</x:v>
      </x:c>
      <x:c r="B35" s="10" t="str">
        <x:v>Headquarters overhead</x:v>
      </x:c>
      <x:c r="C35" s="27" t="n">
        <x:v>4</x:v>
      </x:c>
      <x:c r="D35" s="10" t="str">
        <x:v>credits / day</x:v>
      </x:c>
      <x:c r="E35" s="21" t="str">
        <x:v>First-slice hypothesis</x:v>
      </x:c>
    </x:row>
    <x:row r="36" ht="18" customHeight="1">
      <x:c r="A36" s="10" t="str">
        <x:v>Food</x:v>
      </x:c>
      <x:c r="B36" s="10" t="str">
        <x:v>Starter food coverage</x:v>
      </x:c>
      <x:c r="C36" s="27" t="n">
        <x:v>5</x:v>
      </x:c>
      <x:c r="D36" s="10" t="str">
        <x:v>days</x:v>
      </x:c>
      <x:c r="E36" s="21" t="str">
        <x:v>Scenario start</x:v>
      </x:c>
    </x:row>
    <x:row r="37" ht="18" customHeight="1">
      <x:c r="A37" s="10" t="str">
        <x:v>Food</x:v>
      </x:c>
      <x:c r="B37" s="10" t="str">
        <x:v>Food replacement quote</x:v>
      </x:c>
      <x:c r="C37" s="27" t="n">
        <x:v>1</x:v>
      </x:c>
      <x:c r="D37" s="10" t="str">
        <x:v>credit / person-day</x:v>
      </x:c>
      <x:c r="E37" s="21" t="str">
        <x:v>First-slice hypothesis</x:v>
      </x:c>
    </x:row>
    <x:row r="38" ht="18" customHeight="1">
      <x:c r="A38" s="10" t="str">
        <x:v>Contract</x:v>
      </x:c>
      <x:c r="B38" s="10" t="str">
        <x:v>Successful onboarding surveys</x:v>
      </x:c>
      <x:c r="C38" s="27" t="n">
        <x:v>1</x:v>
      </x:c>
      <x:c r="D38" s="10" t="str">
        <x:v>contracts</x:v>
      </x:c>
      <x:c r="E38" s="21" t="str">
        <x:v>Accepted at start</x:v>
      </x:c>
    </x:row>
    <x:row r="39" ht="18" customHeight="1">
      <x:c r="A39" s="10" t="str">
        <x:v>Contract</x:v>
      </x:c>
      <x:c r="B39" s="10" t="str">
        <x:v>Payment per survey</x:v>
      </x:c>
      <x:c r="C39" s="27" t="n">
        <x:v>240</x:v>
      </x:c>
      <x:c r="D39" s="10" t="str">
        <x:v>credits</x:v>
      </x:c>
      <x:c r="E39" s="21" t="str">
        <x:v>Scenario contract</x:v>
      </x:c>
    </x:row>
    <x:row r="40" ht="18" customHeight="1">
      <x:c r="A40" s="10" t="str">
        <x:v>Contract</x:v>
      </x:c>
      <x:c r="B40" s="10" t="str">
        <x:v>Safety bonus count</x:v>
      </x:c>
      <x:c r="C40" s="27" t="n">
        <x:v>0</x:v>
      </x:c>
      <x:c r="D40" s="10" t="str">
        <x:v>contracts</x:v>
      </x:c>
      <x:c r="E40" s="21" t="str">
        <x:v>No bonus in base forecast</x:v>
      </x:c>
    </x:row>
    <x:row r="41" ht="18" customHeight="1">
      <x:c r="A41" s="10" t="str">
        <x:v>Contract</x:v>
      </x:c>
      <x:c r="B41" s="10" t="str">
        <x:v>Safety bonus per contract</x:v>
      </x:c>
      <x:c r="C41" s="27" t="n">
        <x:v>60</x:v>
      </x:c>
      <x:c r="D41" s="10" t="str">
        <x:v>credits</x:v>
      </x:c>
      <x:c r="E41" s="21" t="str">
        <x:v>First-slice hypothesis</x:v>
      </x:c>
    </x:row>
    <x:row r="42" ht="18" customHeight="1">
      <x:c r="A42" s="10" t="str">
        <x:v>Contract</x:v>
      </x:c>
      <x:c r="B42" s="10" t="str">
        <x:v>Late or failed contracts</x:v>
      </x:c>
      <x:c r="C42" s="27" t="n">
        <x:v>0</x:v>
      </x:c>
      <x:c r="D42" s="10" t="str">
        <x:v>contracts</x:v>
      </x:c>
      <x:c r="E42" s="21" t="str">
        <x:v>No penalty in base forecast</x:v>
      </x:c>
    </x:row>
    <x:row r="43" ht="18" customHeight="1">
      <x:c r="A43" s="10" t="str">
        <x:v>Contract</x:v>
      </x:c>
      <x:c r="B43" s="10" t="str">
        <x:v>Penalty per missed contract</x:v>
      </x:c>
      <x:c r="C43" s="27" t="n">
        <x:v>60</x:v>
      </x:c>
      <x:c r="D43" s="10" t="str">
        <x:v>credits</x:v>
      </x:c>
      <x:c r="E43" s="21" t="str">
        <x:v>Capped at 25% of first reward</x:v>
      </x:c>
    </x:row>
    <x:row r="44" ht="18" customHeight="1">
      <x:c r="A44" s="10" t="str">
        <x:v>Staff</x:v>
      </x:c>
      <x:c r="B44" s="10" t="str">
        <x:v>Additional hires</x:v>
      </x:c>
      <x:c r="C44" s="27" t="n">
        <x:v>0</x:v>
      </x:c>
      <x:c r="D44" s="10" t="str">
        <x:v>pawns</x:v>
      </x:c>
      <x:c r="E44" s="21" t="str">
        <x:v>Starting roster excluded</x:v>
      </x:c>
    </x:row>
    <x:row r="45" ht="18" customHeight="1">
      <x:c r="A45" s="10" t="str">
        <x:v>Staff</x:v>
      </x:c>
      <x:c r="B45" s="10" t="str">
        <x:v>Setup per new hire</x:v>
      </x:c>
      <x:c r="C45" s="27" t="n">
        <x:v>25</x:v>
      </x:c>
      <x:c r="D45" s="10" t="str">
        <x:v>credits</x:v>
      </x:c>
      <x:c r="E45" s="21" t="str">
        <x:v>First-slice hypothesis</x:v>
      </x:c>
    </x:row>
    <x:row r="46" ht="18" customHeight="1">
      <x:c r="A46" s="10" t="str">
        <x:v>Orders</x:v>
      </x:c>
      <x:c r="B46" s="10" t="str">
        <x:v>Survey-kit restock orders</x:v>
      </x:c>
      <x:c r="C46" s="27" t="n">
        <x:v>0</x:v>
      </x:c>
      <x:c r="D46" s="10" t="str">
        <x:v>orders</x:v>
      </x:c>
      <x:c r="E46" s="21" t="str">
        <x:v>No restock in base forecast</x:v>
      </x:c>
    </x:row>
    <x:row r="47" ht="18" customHeight="1">
      <x:c r="A47" s="10" t="str">
        <x:v>Orders</x:v>
      </x:c>
      <x:c r="B47" s="10" t="str">
        <x:v>Survey-kit restock quote</x:v>
      </x:c>
      <x:c r="C47" s="27" t="n">
        <x:v>40</x:v>
      </x:c>
      <x:c r="D47" s="10" t="str">
        <x:v>credits / order</x:v>
      </x:c>
      <x:c r="E47" s="21" t="str">
        <x:v>Physical shipment</x:v>
      </x:c>
    </x:row>
    <x:row r="48" ht="18" customHeight="1">
      <x:c r="A48" s="10" t="str">
        <x:v>Research</x:v>
      </x:c>
      <x:c r="B48" s="10" t="str">
        <x:v>Research material orders</x:v>
      </x:c>
      <x:c r="C48" s="27" t="n">
        <x:v>0</x:v>
      </x:c>
      <x:c r="D48" s="10" t="str">
        <x:v>orders</x:v>
      </x:c>
      <x:c r="E48" s="21" t="str">
        <x:v>Starter stock used first</x:v>
      </x:c>
    </x:row>
    <x:row r="49" ht="18" customHeight="1">
      <x:c r="A49" s="10" t="str">
        <x:v>Research</x:v>
      </x:c>
      <x:c r="B49" s="10" t="str">
        <x:v>Materials per order</x:v>
      </x:c>
      <x:c r="C49" s="27" t="n">
        <x:v>20</x:v>
      </x:c>
      <x:c r="D49" s="10" t="str">
        <x:v>credits / order</x:v>
      </x:c>
      <x:c r="E49" s="21" t="str">
        <x:v>First-slice hypothesis</x:v>
      </x:c>
    </x:row>
    <x:row r="50" ht="18" customHeight="1">
      <x:c r="A50" s="10" t="str">
        <x:v>Outpost</x:v>
      </x:c>
      <x:c r="B50" s="10" t="str">
        <x:v>Active outpost days</x:v>
      </x:c>
      <x:c r="C50" s="27" t="n">
        <x:v>0</x:v>
      </x:c>
      <x:c r="D50" s="10" t="str">
        <x:v>days</x:v>
      </x:c>
      <x:c r="E50" s="21" t="str">
        <x:v>No outpost in base forecast</x:v>
      </x:c>
    </x:row>
    <x:row r="51" ht="18" customHeight="1">
      <x:c r="A51" s="10" t="str">
        <x:v>Outpost</x:v>
      </x:c>
      <x:c r="B51" s="10" t="str">
        <x:v>Lease and service cost</x:v>
      </x:c>
      <x:c r="C51" s="27" t="n">
        <x:v>17</x:v>
      </x:c>
      <x:c r="D51" s="10" t="str">
        <x:v>credits / day</x:v>
      </x:c>
      <x:c r="E51" s="21" t="str">
        <x:v>5 lease + 12 local service</x:v>
      </x:c>
    </x:row>
    <x:row r="52" ht="18" customHeight="1">
      <x:c r="A52" s="10" t="str">
        <x:v>Facility</x:v>
      </x:c>
      <x:c r="B52" s="10" t="str">
        <x:v>Leased facility days</x:v>
      </x:c>
      <x:c r="C52" s="27" t="n">
        <x:v>0</x:v>
      </x:c>
      <x:c r="D52" s="10" t="str">
        <x:v>days</x:v>
      </x:c>
      <x:c r="E52" s="21" t="str">
        <x:v>No extra space in base forecast</x:v>
      </x:c>
    </x:row>
    <x:row r="53" ht="18" customHeight="1">
      <x:c r="A53" s="10" t="str">
        <x:v>Facility</x:v>
      </x:c>
      <x:c r="B53" s="10" t="str">
        <x:v>Rent per active day</x:v>
      </x:c>
      <x:c r="C53" s="27" t="n">
        <x:v>8</x:v>
      </x:c>
      <x:c r="D53" s="10" t="str">
        <x:v>credits / day</x:v>
      </x:c>
      <x:c r="E53" s="21" t="str">
        <x:v>First-slice hypothesis</x:v>
      </x:c>
    </x:row>
    <x:row r="54" ht="18" customHeight="1">
      <x:c r="A54" s="10" t="str">
        <x:v>Gate</x:v>
      </x:c>
      <x:c r="B54" s="10" t="str">
        <x:v>Standby draw</x:v>
      </x:c>
      <x:c r="C54" s="27" t="n">
        <x:v>500</x:v>
      </x:c>
      <x:c r="D54" s="10" t="str">
        <x:v>W</x:v>
      </x:c>
      <x:c r="E54" s="21" t="str">
        <x:v>First-slice hypothesis</x:v>
      </x:c>
    </x:row>
    <x:row r="55" ht="18" customHeight="1">
      <x:c r="A55" s="10" t="str">
        <x:v>Gate</x:v>
      </x:c>
      <x:c r="B55" s="10" t="str">
        <x:v>Open draw</x:v>
      </x:c>
      <x:c r="C55" s="27" t="n">
        <x:v>2000</x:v>
      </x:c>
      <x:c r="D55" s="10" t="str">
        <x:v>W</x:v>
      </x:c>
      <x:c r="E55" s="21" t="str">
        <x:v>First-slice hypothesis</x:v>
      </x:c>
    </x:row>
    <x:row r="56" ht="18" customHeight="1">
      <x:c r="A56" s="10" t="str">
        <x:v>Gate</x:v>
      </x:c>
      <x:c r="B56" s="10" t="str">
        <x:v>First opening window</x:v>
      </x:c>
      <x:c r="C56" s="27" t="n">
        <x:v>20</x:v>
      </x:c>
      <x:c r="D56" s="10" t="str">
        <x:v>minutes</x:v>
      </x:c>
      <x:c r="E56" s="21" t="str">
        <x:v>Scenario start</x:v>
      </x:c>
    </x:row>
    <x:row r="57" ht="18" customHeight="1">
      <x:c r="A57" s="10" t="str">
        <x:v>Gate</x:v>
      </x:c>
      <x:c r="B57" s="10" t="str">
        <x:v>Reserve multiplier</x:v>
      </x:c>
      <x:c r="C57" s="28" t="n">
        <x:v>1.5</x:v>
      </x:c>
      <x:c r="D57" s="10" t="str">
        <x:v>x draw</x:v>
      </x:c>
      <x:c r="E57" s="21" t="str">
        <x:v>50% reserve</x:v>
      </x:c>
    </x:row>
    <x:row r="58" ht="18" customHeight="1">
      <x:c r="A58" s="10" t="str">
        <x:v>Expedition</x:v>
      </x:c>
      <x:c r="B58" s="10" t="str">
        <x:v>Maximum first crew</x:v>
      </x:c>
      <x:c r="C58" s="27" t="n">
        <x:v>3</x:v>
      </x:c>
      <x:c r="D58" s="10" t="str">
        <x:v>pawns</x:v>
      </x:c>
      <x:c r="E58" s="21" t="str">
        <x:v>Scenario start</x:v>
      </x:c>
    </x:row>
    <x:row r="59" ht="18" customHeight="1">
      <x:c r="A59" s="10" t="str">
        <x:v>Expedition</x:v>
      </x:c>
      <x:c r="B59" s="10" t="str">
        <x:v>Optional bulk salvage limit</x:v>
      </x:c>
      <x:c r="C59" s="27" t="n">
        <x:v>30</x:v>
      </x:c>
      <x:c r="D59" s="10" t="str">
        <x:v>kg</x:v>
      </x:c>
      <x:c r="E59" s="21" t="str">
        <x:v>First-slice hypothesis</x:v>
      </x:c>
    </x:row>
    <x:row r="60" ht="18" customHeight="1">
      <x:c r="A60" s="10" t="str">
        <x:v>Research</x:v>
      </x:c>
      <x:c r="B60" s="10" t="str">
        <x:v>Insight per successful survey</x:v>
      </x:c>
      <x:c r="C60" s="27" t="n">
        <x:v>1</x:v>
      </x:c>
      <x:c r="D60" s="10" t="str">
        <x:v>insight</x:v>
      </x:c>
      <x:c r="E60" s="21" t="str">
        <x:v>Scenario contract</x:v>
      </x:c>
    </x:row>
  </x:sheetData>
  <x:pageMargins left="0.7" right="0.7" top="0.75" bottom="0.75" header="0.3" footer="0.3"/>
</x:worksheet>
</file>