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1b8d8fcdd44a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conomy" sheetId="1" r:id="R039ff0aebe0e434a"/>
    <x:sheet xmlns:r="http://schemas.openxmlformats.org/officeDocument/2006/relationships" name="Campaign Scenarios" sheetId="2" r:id="Ra7c2a929fa534d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(#,##0);-"/>
    <x:numFmt numFmtId="201" formatCode="#,##0.0"/>
    <x:numFmt numFmtId="202" formatCode="0.0"/>
  </x:numFmts>
  <x:fonts count="9">
    <x:font>
      <x:sz val="11"/>
      <x:name val="Carlito"/>
    </x:font>
    <x:font>
      <x:sz val="10"/>
      <x:color rgb="FF1F2937"/>
      <x:name val="Arial"/>
    </x:font>
    <x:font>
      <x:b/>
      <x:sz val="14"/>
      <x:color rgb="FF182C3D"/>
      <x:name val="Arial"/>
    </x:font>
    <x:font>
      <x:i/>
      <x:sz val="10"/>
      <x:color rgb="FF526170"/>
      <x:name val="Arial"/>
    </x:font>
    <x:font>
      <x:b/>
      <x:sz val="10"/>
      <x:color rgb="FF182C3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i/>
      <x:sz val="9"/>
      <x:color rgb="FF526170"/>
      <x:name val="Arial"/>
    </x:font>
    <x:font>
      <x:sz val="10"/>
      <x:color rgb="FF008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4">
    <x:border/>
    <x:border>
      <x:bottom style="double">
        <x:color rgb="FF1F4E78"/>
      </x:bottom>
    </x:border>
    <x:border>
      <x:bottom style="thin">
        <x:color rgb="FF8EAADB"/>
      </x:bottom>
    </x:border>
    <x:border>
      <x:bottom style="thin">
        <x:color rgb="FFE2E8F0"/>
      </x:bottom>
    </x:border>
  </x:borders>
  <x:cellStyleXfs count="1">
    <x:xf numFmtId="0" fontId="0" fillId="0" borderId="0"/>
  </x:cellStyleXfs>
  <x:cellXfs count="6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4" borderId="0" xfId="0" applyNumberFormat="1" applyFont="1" applyFill="1" applyBorder="1"/>
    <x:xf numFmtId="0" fontId="6" fillId="4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6" fillId="4" borderId="0" xfId="0" applyNumberFormat="1" applyFont="1" applyFill="1" applyBorder="1"/>
    <x:xf numFmtId="202" fontId="6" fillId="4" borderId="0" xfId="0" applyNumberFormat="1" applyFont="1" applyFill="1" applyBorder="1"/>
    <x:xf numFmtId="200" fontId="6" fillId="4" borderId="0" xfId="0" applyNumberFormat="1" applyFont="1" applyFill="1" applyBorder="1" applyAlignment="1">
      <x:alignment horizontal="right"/>
    </x:xf>
    <x:xf numFmtId="202" fontId="6" fillId="4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/>
    </x:xf>
    <x:xf numFmtId="200" fontId="6" fillId="4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horizontal="right" vertical="center"/>
    </x:xf>
    <x:xf numFmtId="200" fontId="6" fillId="7" borderId="0" xfId="0" applyNumberFormat="1" applyFont="1" applyFill="1" applyBorder="1" applyAlignment="1">
      <x:alignment horizontal="right"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horizontal="right" vertical="center"/>
    </x:xf>
    <x:xf numFmtId="200" fontId="8" fillId="7" borderId="0" xfId="0" applyNumberFormat="1" applyFont="1" applyFill="1" applyBorder="1" applyAlignment="1">
      <x:alignment horizontal="right" vertical="center"/>
    </x:xf>
    <x:xf numFmtId="200" fontId="8" fillId="0" borderId="0" xfId="0" applyNumberFormat="1" applyFont="1" applyFill="1" applyBorder="1" applyAlignment="1">
      <x:alignment vertical="center"/>
    </x:xf>
    <x:xf numFmtId="0" fontId="1" fillId="0" xfId="0" applyNumberFormat="1" applyFont="1" applyFill="1" applyBorder="0" applyAlignment="1">
      <x:alignment vertical="center"/>
    </x:xf>
    <x:xf numFmtId="200" fontId="8" fillId="0" xfId="0" applyNumberFormat="1" applyFont="1" applyFill="1" applyBorder="0" applyAlignment="1">
      <x:alignment vertical="center"/>
    </x:xf>
    <x:xf numFmtId="200" fontId="1" fillId="0" xfId="0" applyNumberFormat="1" applyFont="1" applyFill="1" applyBorder="0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4" fillId="5" borderId="0" xfId="0" applyNumberFormat="1" applyFont="1" applyFill="1" applyBorder="1" applyAlignment="1">
      <x:alignment vertical="center" wrapText="0"/>
    </x:xf>
    <x:xf numFmtId="0" fontId="5" fillId="6" borderId="0" xfId="0" applyNumberFormat="1" applyFont="1" applyFill="1" applyBorder="1" applyAlignment="1">
      <x:alignment horizontal="center" vertical="center" wrapText="0"/>
    </x:xf>
    <x:xf numFmtId="200" fontId="1" fillId="0" xfId="0" applyNumberFormat="1" applyFont="1" applyFill="1" applyBorder="0" applyAlignment="1">
      <x:alignment vertical="center" wrapText="0"/>
    </x:xf>
    <x:xf numFmtId="200" fontId="1" fillId="0" borderId="3" xfId="0" applyNumberFormat="1" applyFont="1" applyFill="1" applyBorder="1" applyAlignment="1">
      <x:alignment vertical="center" wrapText="0"/>
    </x:xf>
    <x:xf numFmtId="0" fontId="4" fillId="0" borderId="2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b5fa94e0e74390" /><Relationship Type="http://schemas.openxmlformats.org/officeDocument/2006/relationships/theme" Target="/xl/theme/theme1.xml" Id="Ra878f4f330ab42e0" /><Relationship Type="http://schemas.openxmlformats.org/officeDocument/2006/relationships/sharedStrings" Target="/xl/sharedStrings.xml" Id="R5147256859cb4445" /><Relationship Type="http://schemas.openxmlformats.org/officeDocument/2006/relationships/worksheet" Target="/xl/worksheets/sheet1.xml" Id="R039ff0aebe0e434a" /><Relationship Type="http://schemas.openxmlformats.org/officeDocument/2006/relationships/worksheet" Target="/xl/worksheets/sheet2.xml" Id="Ra7c2a929fa534d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2" hidden="0" customWidth="1"/>
    <x:col min="2" max="2" width="34" hidden="0" customWidth="1"/>
    <x:col min="3" max="3" width="52" hidden="0" customWidth="1"/>
    <x:col min="4" max="4" width="22" hidden="0" customWidth="1"/>
    <x:col min="5" max="5" width="44" hidden="0" customWidth="1"/>
  </x:cols>
  <x:sheetData>
    <x:row r="1" ht="18" customHeight="1">
      <x:c r="A1" s="1"/>
      <x:c r="B1" s="1"/>
      <x:c r="C1" s="1"/>
      <x:c r="D1" s="1"/>
      <x:c r="E1" s="1"/>
    </x:row>
    <x:row r="2" ht="18" customHeight="1">
      <x:c r="A2" s="2" t="str">
        <x:v>Rimrooms - Async Industries: economy v0.1</x:v>
      </x:c>
      <x:c r="B2" s="2"/>
      <x:c r="C2" s="2"/>
      <x:c r="D2" s="2"/>
      <x:c r="E2" s="2"/>
    </x:row>
    <x:row r="3" ht="18" customHeight="1">
      <x:c r="A3" s="3" t="str">
        <x:v>30-day Async Industries opening cash model. Editable hypotheses, not tested play balance.</x:v>
      </x:c>
      <x:c r="B3" s="3"/>
      <x:c r="C3" s="3"/>
      <x:c r="D3" s="3"/>
      <x:c r="E3" s="3"/>
    </x:row>
    <x:row r="4" ht="18" customHeight="1">
      <x:c r="A4" s="1"/>
      <x:c r="B4" s="1"/>
      <x:c r="C4" s="1"/>
      <x:c r="D4" s="1"/>
      <x:c r="E4" s="1"/>
    </x:row>
    <x:row r="5" ht="18" customHeight="1">
      <x:c r="A5" s="5" t="str">
        <x:v>30-day opening forecast</x:v>
      </x:c>
      <x:c r="B5" s="5"/>
      <x:c r="C5" s="5"/>
      <x:c r="D5" s="1"/>
      <x:c r="E5" s="1"/>
    </x:row>
    <x:row r="6" ht="18" customHeight="1">
      <x:c r="A6" s="7" t="str">
        <x:v>Metric</x:v>
      </x:c>
      <x:c r="B6" s="7" t="str">
        <x:v>Value</x:v>
      </x:c>
      <x:c r="C6" s="7" t="str">
        <x:v>Explanation</x:v>
      </x:c>
      <x:c r="D6" s="1"/>
      <x:c r="E6" s="1"/>
    </x:row>
    <x:row r="7" ht="18" customHeight="1">
      <x:c r="A7" s="21" t="str">
        <x:v>Starting company credits</x:v>
      </x:c>
      <x:c r="B7" s="22" t="n">
        <x:f>C31</x:f>
        <x:v>900</x:v>
      </x:c>
      <x:c r="C7" s="21" t="str">
        <x:v>Opening branch balance.</x:v>
      </x:c>
      <x:c r="D7" s="1"/>
      <x:c r="E7" s="1"/>
    </x:row>
    <x:row r="8" ht="18" customHeight="1">
      <x:c r="A8" s="21" t="str">
        <x:v>Onboarding survey payments</x:v>
      </x:c>
      <x:c r="B8" s="22" t="n">
        <x:f>C38*C39</x:f>
        <x:v>240</x:v>
      </x:c>
      <x:c r="C8" s="21" t="str">
        <x:v>Paid once after valid extraction and evidence delivery.</x:v>
      </x:c>
      <x:c r="D8" s="1"/>
      <x:c r="E8" s="1"/>
    </x:row>
    <x:row r="9" ht="18" customHeight="1">
      <x:c r="A9" s="21" t="str">
        <x:v>Safety and documentation bonus</x:v>
      </x:c>
      <x:c r="B9" s="22" t="n">
        <x:f>C40*C41</x:f>
        <x:v>0</x:v>
      </x:c>
      <x:c r="C9" s="21" t="str">
        <x:v>Set to zero in the opening forecast; the bonus is optional.</x:v>
      </x:c>
      <x:c r="D9" s="1"/>
      <x:c r="E9" s="1"/>
    </x:row>
    <x:row r="10" ht="18" customHeight="1">
      <x:c r="A10" s="21" t="str">
        <x:v>Payroll</x:v>
      </x:c>
      <x:c r="B10" s="22" t="n">
        <x:f>-C33*C34*C32</x:f>
        <x:v>-300</x:v>
      </x:c>
      <x:c r="C10" s="21" t="str">
        <x:v>Starting staff × daily pay × forecast days.</x:v>
      </x:c>
      <x:c r="D10" s="1"/>
      <x:c r="E10" s="1"/>
    </x:row>
    <x:row r="11" ht="18" customHeight="1">
      <x:c r="A11" s="21" t="str">
        <x:v>Headquarters overhead</x:v>
      </x:c>
      <x:c r="B11" s="22" t="n">
        <x:f>-C35*C32</x:f>
        <x:v>-120</x:v>
      </x:c>
      <x:c r="C11" s="21" t="str">
        <x:v>Routine company overhead; excludes physical fuel and materials.</x:v>
      </x:c>
      <x:c r="D11" s="1"/>
      <x:c r="E11" s="1"/>
    </x:row>
    <x:row r="12" ht="18" customHeight="1">
      <x:c r="A12" s="21" t="str">
        <x:v>Food resupply</x:v>
      </x:c>
      <x:c r="B12" s="22" t="n">
        <x:f>-MAX(0,C32-C36)*C33*C37</x:f>
        <x:v>-125</x:v>
      </x:c>
      <x:c r="C12" s="21" t="str">
        <x:v>Only days beyond the starter food coverage are purchased.</x:v>
      </x:c>
      <x:c r="D12" s="1"/>
      <x:c r="E12" s="1"/>
    </x:row>
    <x:row r="13" ht="18" customHeight="1">
      <x:c r="A13" s="21" t="str">
        <x:v>New-hire setup</x:v>
      </x:c>
      <x:c r="B13" s="22" t="n">
        <x:f>-C44*C45</x:f>
        <x:v>0</x:v>
      </x:c>
      <x:c r="C13" s="21" t="str">
        <x:v>New hires only; the starting five are already rostered.</x:v>
      </x:c>
      <x:c r="D13" s="1"/>
      <x:c r="E13" s="1"/>
    </x:row>
    <x:row r="14" ht="18" customHeight="1">
      <x:c r="A14" s="21" t="str">
        <x:v>Survey-kit restock</x:v>
      </x:c>
      <x:c r="B14" s="22" t="n">
        <x:f>-C46*C47</x:f>
        <x:v>0</x:v>
      </x:c>
      <x:c r="C14" s="21" t="str">
        <x:v>Physical resupply shipments only; no charge until ordered.</x:v>
      </x:c>
      <x:c r="D14" s="1"/>
      <x:c r="E14" s="1"/>
    </x:row>
    <x:row r="15" ht="18" customHeight="1">
      <x:c r="A15" s="21" t="str">
        <x:v>Research-material orders</x:v>
      </x:c>
      <x:c r="B15" s="22" t="n">
        <x:f>-C48*C49</x:f>
        <x:v>0</x:v>
      </x:c>
      <x:c r="C15" s="21" t="str">
        <x:v>Physical research supplies only; no charge until ordered.</x:v>
      </x:c>
      <x:c r="D15" s="1"/>
      <x:c r="E15" s="1"/>
    </x:row>
    <x:row r="16" ht="18" customHeight="1">
      <x:c r="A16" s="21" t="str">
        <x:v>Outpost lease and operation</x:v>
      </x:c>
      <x:c r="B16" s="22" t="n">
        <x:f>-C50*C51</x:f>
        <x:v>0</x:v>
      </x:c>
      <x:c r="C16" s="21" t="str">
        <x:v>No outpost cost until an outpost is active.</x:v>
      </x:c>
      <x:c r="D16" s="1"/>
      <x:c r="E16" s="1"/>
    </x:row>
    <x:row r="17" ht="18" customHeight="1">
      <x:c r="A17" s="21" t="str">
        <x:v>Additional facility lease</x:v>
      </x:c>
      <x:c r="B17" s="22" t="n">
        <x:f>-C52*C53</x:f>
        <x:v>0</x:v>
      </x:c>
      <x:c r="C17" s="21" t="str">
        <x:v>No lease cost until extra space is rented.</x:v>
      </x:c>
      <x:c r="D17" s="1"/>
      <x:c r="E17" s="1"/>
    </x:row>
    <x:row r="18" ht="18" customHeight="1">
      <x:c r="A18" s="21" t="str">
        <x:v>Contract penalties</x:v>
      </x:c>
      <x:c r="B18" s="22" t="n">
        <x:f>-C42*C43</x:f>
        <x:v>0</x:v>
      </x:c>
      <x:c r="C18" s="21" t="str">
        <x:v>Only penalties explicitly shown on an accepted contract.</x:v>
      </x:c>
      <x:c r="D18" s="1"/>
      <x:c r="E18" s="1"/>
    </x:row>
    <x:row r="19" ht="18" customHeight="1">
      <x:c r="A19" s="23" t="str">
        <x:v>Ending company credits</x:v>
      </x:c>
      <x:c r="B19" s="24" t="n">
        <x:f>SUM(B7:B18)</x:f>
        <x:v>595</x:v>
      </x:c>
      <x:c r="C19" s="23" t="str">
        <x:v>Opening balance plus posted cash receipts and costs.</x:v>
      </x:c>
      <x:c r="D19" s="1"/>
      <x:c r="E19" s="1"/>
    </x:row>
    <x:row r="20" ht="18" customHeight="1">
      <x:c r="A20" s="21" t="str">
        <x:v>Steady daily outflow after starter food</x:v>
      </x:c>
      <x:c r="B20" s="25" t="n">
        <x:f>C33*C34+C35+C33*C37</x:f>
        <x:v>19</x:v>
      </x:c>
      <x:c r="C20" s="21" t="str">
        <x:v>Includes payroll, headquarters overhead, and food replenishment.</x:v>
      </x:c>
      <x:c r="D20" s="1"/>
      <x:c r="E20" s="1"/>
    </x:row>
    <x:row r="21" ht="18" customHeight="1">
      <x:c r="A21" s="21" t="str">
        <x:v>Cash runway at steady-state rate (days)</x:v>
      </x:c>
      <x:c r="B21" s="25" t="n">
        <x:f>C31/B20</x:f>
        <x:v>47.36842105263158</x:v>
      </x:c>
      <x:c r="C21" s="21" t="str">
        <x:v>Opening balance divided by steady-state daily cash outflow.</x:v>
      </x:c>
      <x:c r="D21" s="1"/>
      <x:c r="E21" s="1"/>
    </x:row>
    <x:row r="22" ht="18" customHeight="1">
      <x:c r="A22" s="21" t="str">
        <x:v>Gate capacity with 50% reserve (W)</x:v>
      </x:c>
      <x:c r="B22" s="22" t="n">
        <x:f>C55*C57</x:f>
        <x:v>3000</x:v>
      </x:c>
      <x:c r="C22" s="21" t="str">
        <x:v>Machine capacity target; power is not converted into company credits.</x:v>
      </x:c>
      <x:c r="D22" s="1"/>
      <x:c r="E22" s="1"/>
    </x:row>
    <x:row r="23" ht="18" customHeight="1">
      <x:c r="A23" s="21" t="str">
        <x:v>First opening window (minutes)</x:v>
      </x:c>
      <x:c r="B23" s="22" t="n">
        <x:f>C56</x:f>
        <x:v>20</x:v>
      </x:c>
      <x:c r="C23" s="21" t="str">
        <x:v>The first expedition duration.</x:v>
      </x:c>
      <x:c r="D23" s="1"/>
      <x:c r="E23" s="1"/>
    </x:row>
    <x:row r="24" ht="18" customHeight="1">
      <x:c r="A24" s="21" t="str">
        <x:v>Maximum field crew (pawns)</x:v>
      </x:c>
      <x:c r="B24" s="22" t="n">
        <x:f>C58</x:f>
        <x:v>3</x:v>
      </x:c>
      <x:c r="C24" s="21" t="str">
        <x:v>A qualified operator remains at headquarters.</x:v>
      </x:c>
      <x:c r="D24" s="1"/>
      <x:c r="E24" s="1"/>
    </x:row>
    <x:row r="25" ht="18" customHeight="1">
      <x:c r="A25" s="21" t="str">
        <x:v>Optional bulk cargo limit (kg)</x:v>
      </x:c>
      <x:c r="B25" s="22" t="n">
        <x:f>C59</x:f>
        <x:v>30</x:v>
      </x:c>
      <x:c r="C25" s="21" t="str">
        <x:v>Bulk salvage allowance, separate from carried field kits.</x:v>
      </x:c>
      <x:c r="D25" s="1"/>
      <x:c r="E25" s="1"/>
    </x:row>
    <x:row r="26" ht="18" customHeight="1">
      <x:c r="A26" s="21" t="str">
        <x:v>Research insight per successful survey</x:v>
      </x:c>
      <x:c r="B26" s="22" t="n">
        <x:f>C60</x:f>
        <x:v>1</x:v>
      </x:c>
      <x:c r="C26" s="21" t="str">
        <x:v>A local research input, not transferable currency.</x:v>
      </x:c>
      <x:c r="D26" s="1"/>
      <x:c r="E26" s="1"/>
    </x:row>
    <x:row r="27" ht="18" customHeight="1">
      <x:c r="A27" s="1"/>
      <x:c r="B27" s="1"/>
      <x:c r="C27" s="1"/>
      <x:c r="D27" s="1"/>
      <x:c r="E27" s="1"/>
    </x:row>
    <x:row r="28" ht="18" customHeight="1">
      <x:c r="A28" s="5" t="str">
        <x:v>Editable model inputs</x:v>
      </x:c>
      <x:c r="B28" s="5"/>
      <x:c r="C28" s="5"/>
      <x:c r="D28" s="5"/>
      <x:c r="E28" s="5"/>
    </x:row>
    <x:row r="29" ht="32" customHeight="1">
      <x:c r="A29" s="11" t="str">
        <x:v>Source: docs/CAMPAIGN_ECONOMY_MODEL.md, Async Industries opening values and First-month calculation. Scenario start values align with docs/SCENARIOS.md. All other figures are editable balance hypotheses.</x:v>
      </x:c>
      <x:c r="B29" s="11"/>
      <x:c r="C29" s="11"/>
      <x:c r="D29" s="11"/>
      <x:c r="E29" s="11"/>
    </x:row>
    <x:row r="30" ht="18" customHeight="1">
      <x:c r="A30" s="26" t="str">
        <x:v>Group</x:v>
      </x:c>
      <x:c r="B30" s="26" t="str">
        <x:v>Driver</x:v>
      </x:c>
      <x:c r="C30" s="26" t="str">
        <x:v>Value</x:v>
      </x:c>
      <x:c r="D30" s="26" t="str">
        <x:v>Unit</x:v>
      </x:c>
      <x:c r="E30" s="26" t="str">
        <x:v>Basis</x:v>
      </x:c>
    </x:row>
    <x:row r="31" ht="18" customHeight="1">
      <x:c r="A31" s="10" t="str">
        <x:v>Account</x:v>
      </x:c>
      <x:c r="B31" s="10" t="str">
        <x:v>Starting company credits</x:v>
      </x:c>
      <x:c r="C31" s="27" t="n">
        <x:v>900</x:v>
      </x:c>
      <x:c r="D31" s="10" t="str">
        <x:v>credits</x:v>
      </x:c>
      <x:c r="E31" s="21" t="str">
        <x:v>Scenario start</x:v>
      </x:c>
    </x:row>
    <x:row r="32" ht="18" customHeight="1">
      <x:c r="A32" s="10" t="str">
        <x:v>Period</x:v>
      </x:c>
      <x:c r="B32" s="10" t="str">
        <x:v>Forecast horizon</x:v>
      </x:c>
      <x:c r="C32" s="27" t="n">
        <x:v>30</x:v>
      </x:c>
      <x:c r="D32" s="10" t="str">
        <x:v>days</x:v>
      </x:c>
      <x:c r="E32" s="21" t="str">
        <x:v>Model horizon</x:v>
      </x:c>
    </x:row>
    <x:row r="33" ht="18" customHeight="1">
      <x:c r="A33" s="10" t="str">
        <x:v>Staff</x:v>
      </x:c>
      <x:c r="B33" s="10" t="str">
        <x:v>Starting roster</x:v>
      </x:c>
      <x:c r="C33" s="27" t="n">
        <x:v>5</x:v>
      </x:c>
      <x:c r="D33" s="10" t="str">
        <x:v>pawns</x:v>
      </x:c>
      <x:c r="E33" s="21" t="str">
        <x:v>Scenario start</x:v>
      </x:c>
    </x:row>
    <x:row r="34" ht="18" customHeight="1">
      <x:c r="A34" s="10" t="str">
        <x:v>Staff</x:v>
      </x:c>
      <x:c r="B34" s="10" t="str">
        <x:v>Base pay</x:v>
      </x:c>
      <x:c r="C34" s="27" t="n">
        <x:v>2</x:v>
      </x:c>
      <x:c r="D34" s="10" t="str">
        <x:v>credits / pawn / day</x:v>
      </x:c>
      <x:c r="E34" s="21" t="str">
        <x:v>First-slice hypothesis</x:v>
      </x:c>
    </x:row>
    <x:row r="35" ht="18" customHeight="1">
      <x:c r="A35" s="10" t="str">
        <x:v>Facility</x:v>
      </x:c>
      <x:c r="B35" s="10" t="str">
        <x:v>Headquarters overhead</x:v>
      </x:c>
      <x:c r="C35" s="27" t="n">
        <x:v>4</x:v>
      </x:c>
      <x:c r="D35" s="10" t="str">
        <x:v>credits / day</x:v>
      </x:c>
      <x:c r="E35" s="21" t="str">
        <x:v>First-slice hypothesis</x:v>
      </x:c>
    </x:row>
    <x:row r="36" ht="18" customHeight="1">
      <x:c r="A36" s="10" t="str">
        <x:v>Food</x:v>
      </x:c>
      <x:c r="B36" s="10" t="str">
        <x:v>Starter food coverage</x:v>
      </x:c>
      <x:c r="C36" s="27" t="n">
        <x:v>5</x:v>
      </x:c>
      <x:c r="D36" s="10" t="str">
        <x:v>days</x:v>
      </x:c>
      <x:c r="E36" s="21" t="str">
        <x:v>Scenario start</x:v>
      </x:c>
    </x:row>
    <x:row r="37" ht="18" customHeight="1">
      <x:c r="A37" s="10" t="str">
        <x:v>Food</x:v>
      </x:c>
      <x:c r="B37" s="10" t="str">
        <x:v>Food replacement quote</x:v>
      </x:c>
      <x:c r="C37" s="27" t="n">
        <x:v>1</x:v>
      </x:c>
      <x:c r="D37" s="10" t="str">
        <x:v>credit / person-day</x:v>
      </x:c>
      <x:c r="E37" s="21" t="str">
        <x:v>First-slice hypothesis</x:v>
      </x:c>
    </x:row>
    <x:row r="38" ht="18" customHeight="1">
      <x:c r="A38" s="10" t="str">
        <x:v>Contract</x:v>
      </x:c>
      <x:c r="B38" s="10" t="str">
        <x:v>Successful onboarding surveys</x:v>
      </x:c>
      <x:c r="C38" s="27" t="n">
        <x:v>1</x:v>
      </x:c>
      <x:c r="D38" s="10" t="str">
        <x:v>contracts</x:v>
      </x:c>
      <x:c r="E38" s="21" t="str">
        <x:v>Accepted at start</x:v>
      </x:c>
    </x:row>
    <x:row r="39" ht="18" customHeight="1">
      <x:c r="A39" s="10" t="str">
        <x:v>Contract</x:v>
      </x:c>
      <x:c r="B39" s="10" t="str">
        <x:v>Payment per survey</x:v>
      </x:c>
      <x:c r="C39" s="27" t="n">
        <x:v>240</x:v>
      </x:c>
      <x:c r="D39" s="10" t="str">
        <x:v>credits</x:v>
      </x:c>
      <x:c r="E39" s="21" t="str">
        <x:v>Scenario contract</x:v>
      </x:c>
    </x:row>
    <x:row r="40" ht="18" customHeight="1">
      <x:c r="A40" s="10" t="str">
        <x:v>Contract</x:v>
      </x:c>
      <x:c r="B40" s="10" t="str">
        <x:v>Safety bonus count</x:v>
      </x:c>
      <x:c r="C40" s="27" t="n">
        <x:v>0</x:v>
      </x:c>
      <x:c r="D40" s="10" t="str">
        <x:v>contracts</x:v>
      </x:c>
      <x:c r="E40" s="21" t="str">
        <x:v>No bonus in base forecast</x:v>
      </x:c>
    </x:row>
    <x:row r="41" ht="18" customHeight="1">
      <x:c r="A41" s="10" t="str">
        <x:v>Contract</x:v>
      </x:c>
      <x:c r="B41" s="10" t="str">
        <x:v>Safety bonus per contract</x:v>
      </x:c>
      <x:c r="C41" s="27" t="n">
        <x:v>60</x:v>
      </x:c>
      <x:c r="D41" s="10" t="str">
        <x:v>credits</x:v>
      </x:c>
      <x:c r="E41" s="21" t="str">
        <x:v>First-slice hypothesis</x:v>
      </x:c>
    </x:row>
    <x:row r="42" ht="18" customHeight="1">
      <x:c r="A42" s="10" t="str">
        <x:v>Contract</x:v>
      </x:c>
      <x:c r="B42" s="10" t="str">
        <x:v>Late or failed contracts</x:v>
      </x:c>
      <x:c r="C42" s="27" t="n">
        <x:v>0</x:v>
      </x:c>
      <x:c r="D42" s="10" t="str">
        <x:v>contracts</x:v>
      </x:c>
      <x:c r="E42" s="21" t="str">
        <x:v>No penalty in base forecast</x:v>
      </x:c>
    </x:row>
    <x:row r="43" ht="18" customHeight="1">
      <x:c r="A43" s="10" t="str">
        <x:v>Contract</x:v>
      </x:c>
      <x:c r="B43" s="10" t="str">
        <x:v>Penalty per missed contract</x:v>
      </x:c>
      <x:c r="C43" s="27" t="n">
        <x:v>60</x:v>
      </x:c>
      <x:c r="D43" s="10" t="str">
        <x:v>credits</x:v>
      </x:c>
      <x:c r="E43" s="21" t="str">
        <x:v>Capped at 25% of first reward</x:v>
      </x:c>
    </x:row>
    <x:row r="44" ht="18" customHeight="1">
      <x:c r="A44" s="10" t="str">
        <x:v>Staff</x:v>
      </x:c>
      <x:c r="B44" s="10" t="str">
        <x:v>Additional hires</x:v>
      </x:c>
      <x:c r="C44" s="27" t="n">
        <x:v>0</x:v>
      </x:c>
      <x:c r="D44" s="10" t="str">
        <x:v>pawns</x:v>
      </x:c>
      <x:c r="E44" s="21" t="str">
        <x:v>Starting roster excluded</x:v>
      </x:c>
    </x:row>
    <x:row r="45" ht="18" customHeight="1">
      <x:c r="A45" s="10" t="str">
        <x:v>Staff</x:v>
      </x:c>
      <x:c r="B45" s="10" t="str">
        <x:v>Setup per new hire</x:v>
      </x:c>
      <x:c r="C45" s="27" t="n">
        <x:v>25</x:v>
      </x:c>
      <x:c r="D45" s="10" t="str">
        <x:v>credits</x:v>
      </x:c>
      <x:c r="E45" s="21" t="str">
        <x:v>First-slice hypothesis</x:v>
      </x:c>
    </x:row>
    <x:row r="46" ht="18" customHeight="1">
      <x:c r="A46" s="10" t="str">
        <x:v>Orders</x:v>
      </x:c>
      <x:c r="B46" s="10" t="str">
        <x:v>Survey-kit restock orders</x:v>
      </x:c>
      <x:c r="C46" s="27" t="n">
        <x:v>0</x:v>
      </x:c>
      <x:c r="D46" s="10" t="str">
        <x:v>orders</x:v>
      </x:c>
      <x:c r="E46" s="21" t="str">
        <x:v>No restock in base forecast</x:v>
      </x:c>
    </x:row>
    <x:row r="47" ht="18" customHeight="1">
      <x:c r="A47" s="10" t="str">
        <x:v>Orders</x:v>
      </x:c>
      <x:c r="B47" s="10" t="str">
        <x:v>Survey-kit restock quote</x:v>
      </x:c>
      <x:c r="C47" s="27" t="n">
        <x:v>40</x:v>
      </x:c>
      <x:c r="D47" s="10" t="str">
        <x:v>credits / order</x:v>
      </x:c>
      <x:c r="E47" s="21" t="str">
        <x:v>Physical shipment</x:v>
      </x:c>
    </x:row>
    <x:row r="48" ht="18" customHeight="1">
      <x:c r="A48" s="10" t="str">
        <x:v>Research</x:v>
      </x:c>
      <x:c r="B48" s="10" t="str">
        <x:v>Research material orders</x:v>
      </x:c>
      <x:c r="C48" s="27" t="n">
        <x:v>0</x:v>
      </x:c>
      <x:c r="D48" s="10" t="str">
        <x:v>orders</x:v>
      </x:c>
      <x:c r="E48" s="21" t="str">
        <x:v>Starter stock used first</x:v>
      </x:c>
    </x:row>
    <x:row r="49" ht="18" customHeight="1">
      <x:c r="A49" s="10" t="str">
        <x:v>Research</x:v>
      </x:c>
      <x:c r="B49" s="10" t="str">
        <x:v>Materials per order</x:v>
      </x:c>
      <x:c r="C49" s="27" t="n">
        <x:v>20</x:v>
      </x:c>
      <x:c r="D49" s="10" t="str">
        <x:v>credits / order</x:v>
      </x:c>
      <x:c r="E49" s="21" t="str">
        <x:v>First-slice hypothesis</x:v>
      </x:c>
    </x:row>
    <x:row r="50" ht="18" customHeight="1">
      <x:c r="A50" s="10" t="str">
        <x:v>Outpost</x:v>
      </x:c>
      <x:c r="B50" s="10" t="str">
        <x:v>Active outpost days</x:v>
      </x:c>
      <x:c r="C50" s="27" t="n">
        <x:v>0</x:v>
      </x:c>
      <x:c r="D50" s="10" t="str">
        <x:v>days</x:v>
      </x:c>
      <x:c r="E50" s="21" t="str">
        <x:v>No outpost in base forecast</x:v>
      </x:c>
    </x:row>
    <x:row r="51" ht="18" customHeight="1">
      <x:c r="A51" s="10" t="str">
        <x:v>Outpost</x:v>
      </x:c>
      <x:c r="B51" s="10" t="str">
        <x:v>Lease and service cost</x:v>
      </x:c>
      <x:c r="C51" s="27" t="n">
        <x:v>17</x:v>
      </x:c>
      <x:c r="D51" s="10" t="str">
        <x:v>credits / day</x:v>
      </x:c>
      <x:c r="E51" s="21" t="str">
        <x:v>5 lease + 12 local service</x:v>
      </x:c>
    </x:row>
    <x:row r="52" ht="18" customHeight="1">
      <x:c r="A52" s="10" t="str">
        <x:v>Facility</x:v>
      </x:c>
      <x:c r="B52" s="10" t="str">
        <x:v>Leased facility days</x:v>
      </x:c>
      <x:c r="C52" s="27" t="n">
        <x:v>0</x:v>
      </x:c>
      <x:c r="D52" s="10" t="str">
        <x:v>days</x:v>
      </x:c>
      <x:c r="E52" s="21" t="str">
        <x:v>No extra space in base forecast</x:v>
      </x:c>
    </x:row>
    <x:row r="53" ht="18" customHeight="1">
      <x:c r="A53" s="10" t="str">
        <x:v>Facility</x:v>
      </x:c>
      <x:c r="B53" s="10" t="str">
        <x:v>Rent per active day</x:v>
      </x:c>
      <x:c r="C53" s="27" t="n">
        <x:v>8</x:v>
      </x:c>
      <x:c r="D53" s="10" t="str">
        <x:v>credits / day</x:v>
      </x:c>
      <x:c r="E53" s="21" t="str">
        <x:v>First-slice hypothesis</x:v>
      </x:c>
    </x:row>
    <x:row r="54" ht="18" customHeight="1">
      <x:c r="A54" s="10" t="str">
        <x:v>Gate</x:v>
      </x:c>
      <x:c r="B54" s="10" t="str">
        <x:v>Standby draw</x:v>
      </x:c>
      <x:c r="C54" s="27" t="n">
        <x:v>500</x:v>
      </x:c>
      <x:c r="D54" s="10" t="str">
        <x:v>W</x:v>
      </x:c>
      <x:c r="E54" s="21" t="str">
        <x:v>First-slice hypothesis</x:v>
      </x:c>
    </x:row>
    <x:row r="55" ht="18" customHeight="1">
      <x:c r="A55" s="10" t="str">
        <x:v>Gate</x:v>
      </x:c>
      <x:c r="B55" s="10" t="str">
        <x:v>Open draw</x:v>
      </x:c>
      <x:c r="C55" s="27" t="n">
        <x:v>2000</x:v>
      </x:c>
      <x:c r="D55" s="10" t="str">
        <x:v>W</x:v>
      </x:c>
      <x:c r="E55" s="21" t="str">
        <x:v>First-slice hypothesis</x:v>
      </x:c>
    </x:row>
    <x:row r="56" ht="18" customHeight="1">
      <x:c r="A56" s="10" t="str">
        <x:v>Gate</x:v>
      </x:c>
      <x:c r="B56" s="10" t="str">
        <x:v>First opening window</x:v>
      </x:c>
      <x:c r="C56" s="27" t="n">
        <x:v>20</x:v>
      </x:c>
      <x:c r="D56" s="10" t="str">
        <x:v>minutes</x:v>
      </x:c>
      <x:c r="E56" s="21" t="str">
        <x:v>Scenario start</x:v>
      </x:c>
    </x:row>
    <x:row r="57" ht="18" customHeight="1">
      <x:c r="A57" s="10" t="str">
        <x:v>Gate</x:v>
      </x:c>
      <x:c r="B57" s="10" t="str">
        <x:v>Reserve multiplier</x:v>
      </x:c>
      <x:c r="C57" s="28" t="n">
        <x:v>1.5</x:v>
      </x:c>
      <x:c r="D57" s="10" t="str">
        <x:v>x draw</x:v>
      </x:c>
      <x:c r="E57" s="21" t="str">
        <x:v>50% reserve</x:v>
      </x:c>
    </x:row>
    <x:row r="58" ht="18" customHeight="1">
      <x:c r="A58" s="10" t="str">
        <x:v>Expedition</x:v>
      </x:c>
      <x:c r="B58" s="10" t="str">
        <x:v>Maximum first crew</x:v>
      </x:c>
      <x:c r="C58" s="27" t="n">
        <x:v>3</x:v>
      </x:c>
      <x:c r="D58" s="10" t="str">
        <x:v>pawns</x:v>
      </x:c>
      <x:c r="E58" s="21" t="str">
        <x:v>Scenario start</x:v>
      </x:c>
    </x:row>
    <x:row r="59" ht="18" customHeight="1">
      <x:c r="A59" s="10" t="str">
        <x:v>Expedition</x:v>
      </x:c>
      <x:c r="B59" s="10" t="str">
        <x:v>Optional bulk salvage limit</x:v>
      </x:c>
      <x:c r="C59" s="27" t="n">
        <x:v>30</x:v>
      </x:c>
      <x:c r="D59" s="10" t="str">
        <x:v>kg</x:v>
      </x:c>
      <x:c r="E59" s="21" t="str">
        <x:v>First-slice hypothesis</x:v>
      </x:c>
    </x:row>
    <x:row r="60" ht="18" customHeight="1">
      <x:c r="A60" s="10" t="str">
        <x:v>Research</x:v>
      </x:c>
      <x:c r="B60" s="10" t="str">
        <x:v>Insight per successful survey</x:v>
      </x:c>
      <x:c r="C60" s="27" t="n">
        <x:v>1</x:v>
      </x:c>
      <x:c r="D60" s="10" t="str">
        <x:v>insight</x:v>
      </x:c>
      <x:c r="E60" s="21" t="str">
        <x:v>Scenario contract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6" hidden="0" customWidth="1"/>
    <x:col min="2" max="2" width="32" hidden="0" customWidth="1"/>
    <x:col min="3" max="3" width="18" hidden="0" customWidth="1"/>
    <x:col min="4" max="4" width="22" hidden="0" customWidth="1"/>
    <x:col min="5" max="5" width="66" hidden="0" customWidth="1"/>
  </x:cols>
  <x:sheetData>
    <x:row r="1" ht="20" customHeight="1">
      <x:c r="A1" s="10"/>
      <x:c r="B1" s="10"/>
      <x:c r="C1" s="10"/>
      <x:c r="D1" s="10"/>
      <x:c r="E1" s="52"/>
    </x:row>
    <x:row r="2" ht="26" customHeight="1">
      <x:c r="A2" s="29" t="str">
        <x:v>Rimrooms - Async Industries: campaign scenarios</x:v>
      </x:c>
      <x:c r="B2" s="29"/>
      <x:c r="C2" s="29"/>
      <x:c r="D2" s="29"/>
      <x:c r="E2" s="53"/>
    </x:row>
    <x:row r="3" ht="20" customHeight="1">
      <x:c r="A3" s="30" t="str">
        <x:v>Later stages use editable 30-day planning hypotheses, not tested prices. Credits remain separate from silver and physical stock.</x:v>
      </x:c>
      <x:c r="B3" s="30"/>
      <x:c r="C3" s="30"/>
      <x:c r="D3" s="30"/>
      <x:c r="E3" s="54"/>
    </x:row>
    <x:row r="4" ht="20" customHeight="1">
      <x:c r="A4" s="30" t="str">
        <x:v>Downside starts without the first survey payment and pays fewer later contracts while keeping planned costs. Negative close is a funding gap, not an approved debt mechanic.</x:v>
      </x:c>
      <x:c r="B4" s="30"/>
      <x:c r="C4" s="30"/>
      <x:c r="D4" s="30"/>
      <x:c r="E4" s="54"/>
    </x:row>
    <x:row r="5" ht="20" customHeight="1">
      <x:c r="A5" s="10"/>
      <x:c r="B5" s="10"/>
      <x:c r="C5" s="10"/>
      <x:c r="D5" s="10"/>
      <x:c r="E5" s="52"/>
    </x:row>
    <x:row r="6" ht="20" customHeight="1">
      <x:c r="A6" s="32" t="str">
        <x:v>Thirty-day stage cash outlook</x:v>
      </x:c>
      <x:c r="B6" s="32"/>
      <x:c r="C6" s="32"/>
      <x:c r="D6" s="32"/>
      <x:c r="E6" s="55"/>
    </x:row>
    <x:row r="7" ht="20" customHeight="1">
      <x:c r="A7" s="35" t="str">
        <x:v>Campaign stage</x:v>
      </x:c>
      <x:c r="B7" s="35" t="str">
        <x:v>Base close (credits)</x:v>
      </x:c>
      <x:c r="C7" s="35" t="str">
        <x:v>Downside close (credits)</x:v>
      </x:c>
      <x:c r="D7" s="35" t="str">
        <x:v>Base paid contracts</x:v>
      </x:c>
      <x:c r="E7" s="56" t="str">
        <x:v>Downside paid contracts</x:v>
      </x:c>
    </x:row>
    <x:row r="8" ht="20" customHeight="1">
      <x:c r="A8" s="47" t="str">
        <x:v>Stage 1: First safe survey</x:v>
      </x:c>
      <x:c r="B8" s="48" t="n">
        <x:f>'Economy'!$B$19</x:f>
        <x:v>595</x:v>
      </x:c>
      <x:c r="C8" s="48" t="n">
        <x:f>'Economy'!$B$19-'Economy'!$B$8</x:f>
        <x:v>355</x:v>
      </x:c>
      <x:c r="D8" s="49" t="n">
        <x:v>1</x:v>
      </x:c>
      <x:c r="E8" s="57" t="n">
        <x:v>0</x:v>
      </x:c>
    </x:row>
    <x:row r="9" ht="20" customHeight="1">
      <x:c r="A9" s="47" t="str">
        <x:v>Repeat access</x:v>
      </x:c>
      <x:c r="B9" s="49" t="n">
        <x:f>C54</x:f>
        <x:v>465</x:v>
      </x:c>
      <x:c r="C9" s="49" t="n">
        <x:f>C57</x:f>
        <x:v>-15</x:v>
      </x:c>
      <x:c r="D9" s="49" t="n">
        <x:f>C35</x:f>
        <x:v>2</x:v>
      </x:c>
      <x:c r="E9" s="57" t="n">
        <x:f>C36</x:f>
        <x:v>1</x:v>
      </x:c>
    </x:row>
    <x:row r="10" ht="20" customHeight="1">
      <x:c r="A10" s="47" t="str">
        <x:v>Specialist services</x:v>
      </x:c>
      <x:c r="B10" s="49" t="n">
        <x:f>C84</x:f>
        <x:v>505</x:v>
      </x:c>
      <x:c r="C10" s="49" t="n">
        <x:f>C87</x:f>
        <x:v>-575</x:v>
      </x:c>
      <x:c r="D10" s="49" t="n">
        <x:f>C65</x:f>
        <x:v>3</x:v>
      </x:c>
      <x:c r="E10" s="57" t="n">
        <x:f>C66</x:f>
        <x:v>1</x:v>
      </x:c>
    </x:row>
    <x:row r="11" ht="20" customHeight="1">
      <x:c r="A11" s="47" t="str">
        <x:v>Leases and remote sites</x:v>
      </x:c>
      <x:c r="B11" s="49" t="n">
        <x:f>C114</x:f>
        <x:v>670</x:v>
      </x:c>
      <x:c r="C11" s="49" t="n">
        <x:f>C117</x:f>
        <x:v>-1210</x:v>
      </x:c>
      <x:c r="D11" s="49" t="n">
        <x:f>C95</x:f>
        <x:v>4</x:v>
      </x:c>
      <x:c r="E11" s="57" t="n">
        <x:f>C96</x:f>
        <x:v>2</x:v>
      </x:c>
    </x:row>
    <x:row r="12" ht="20" customHeight="1">
      <x:c r="A12" s="47" t="str">
        <x:v>Large recovery and network work</x:v>
      </x:c>
      <x:c r="B12" s="49" t="n">
        <x:f>C144</x:f>
        <x:v>1370</x:v>
      </x:c>
      <x:c r="C12" s="49" t="n">
        <x:f>C147</x:f>
        <x:v>-2010</x:v>
      </x:c>
      <x:c r="D12" s="49" t="n">
        <x:f>C125</x:f>
        <x:v>5</x:v>
      </x:c>
      <x:c r="E12" s="57" t="n">
        <x:f>C126</x:f>
        <x:v>2</x:v>
      </x:c>
    </x:row>
    <x:row r="13" ht="20" customHeight="1">
      <x:c r="A13" s="47" t="str">
        <x:v>Vehicle and optional orbital support</x:v>
      </x:c>
      <x:c r="B13" s="49" t="n">
        <x:f>C174</x:f>
        <x:v>2420</x:v>
      </x:c>
      <x:c r="C13" s="49" t="n">
        <x:f>C177</x:f>
        <x:v>-2760</x:v>
      </x:c>
      <x:c r="D13" s="49" t="n">
        <x:f>C155</x:f>
        <x:v>5</x:v>
      </x:c>
      <x:c r="E13" s="57" t="n">
        <x:f>C156</x:f>
        <x:v>2</x:v>
      </x:c>
    </x:row>
    <x:row r="14" ht="20" customHeight="1">
      <x:c r="A14" s="50" t="str">
        <x:v>Deep-site operations</x:v>
      </x:c>
      <x:c r="B14" s="51" t="n">
        <x:f>C204</x:f>
        <x:v>3180</x:v>
      </x:c>
      <x:c r="C14" s="51" t="n">
        <x:f>C207</x:f>
        <x:v>-4400</x:v>
      </x:c>
      <x:c r="D14" s="51" t="n">
        <x:f>C185</x:f>
        <x:v>4</x:v>
      </x:c>
      <x:c r="E14" s="58" t="n">
        <x:f>C186</x:f>
        <x:v>1</x:v>
      </x:c>
    </x:row>
    <x:row r="15" ht="20" customHeight="1">
      <x:c r="A15" s="10"/>
      <x:c r="B15" s="10"/>
      <x:c r="C15" s="10"/>
      <x:c r="D15" s="10"/>
      <x:c r="E15" s="52"/>
    </x:row>
    <x:row r="16" ht="20" customHeight="1">
      <x:c r="A16" s="32" t="str">
        <x:v>First-slice rates linked from the Economy sheet</x:v>
      </x:c>
      <x:c r="B16" s="32"/>
      <x:c r="C16" s="32"/>
      <x:c r="D16" s="32"/>
      <x:c r="E16" s="55"/>
    </x:row>
    <x:row r="17" ht="20" customHeight="1">
      <x:c r="A17" s="35" t="str">
        <x:v>Linked input</x:v>
      </x:c>
      <x:c r="B17" s="35" t="str">
        <x:v>Value</x:v>
      </x:c>
      <x:c r="C17" s="35" t="str">
        <x:v>Unit</x:v>
      </x:c>
      <x:c r="D17" s="35" t="str">
        <x:v>Source</x:v>
      </x:c>
      <x:c r="E17" s="56" t="str">
        <x:v>How the later cases use it</x:v>
      </x:c>
    </x:row>
    <x:row r="18" ht="20" customHeight="1">
      <x:c r="A18" s="10" t="str">
        <x:v>Base pay per staff per day</x:v>
      </x:c>
      <x:c r="B18" s="45" t="n">
        <x:f>'Economy'!$C$34</x:f>
        <x:v>2</x:v>
      </x:c>
      <x:c r="C18" s="10" t="str">
        <x:v>credits / pawn / day</x:v>
      </x:c>
      <x:c r="D18" s="10" t="str">
        <x:v>Economy!C34</x:v>
      </x:c>
      <x:c r="E18" s="52" t="str">
        <x:v>Specialist salary premiums remain open.</x:v>
      </x:c>
    </x:row>
    <x:row r="19" ht="20" customHeight="1">
      <x:c r="A19" s="10" t="str">
        <x:v>Headquarters overhead per day</x:v>
      </x:c>
      <x:c r="B19" s="45" t="n">
        <x:f>'Economy'!$C$35</x:f>
        <x:v>4</x:v>
      </x:c>
      <x:c r="C19" s="10" t="str">
        <x:v>credits / day</x:v>
      </x:c>
      <x:c r="D19" s="10" t="str">
        <x:v>Economy!C35</x:v>
      </x:c>
      <x:c r="E19" s="52" t="str">
        <x:v>Routine company overhead only.</x:v>
      </x:c>
    </x:row>
    <x:row r="20" ht="20" customHeight="1">
      <x:c r="A20" s="10" t="str">
        <x:v>Food replenishment per person-day</x:v>
      </x:c>
      <x:c r="B20" s="45" t="n">
        <x:f>'Economy'!$C$37</x:f>
        <x:v>1</x:v>
      </x:c>
      <x:c r="C20" s="10" t="str">
        <x:v>credits / person-day</x:v>
      </x:c>
      <x:c r="D20" s="10" t="str">
        <x:v>Economy!C37</x:v>
      </x:c>
      <x:c r="E20" s="52" t="str">
        <x:v>All later stages are beyond starter-food coverage.</x:v>
      </x:c>
    </x:row>
    <x:row r="21" ht="20" customHeight="1">
      <x:c r="A21" s="10" t="str">
        <x:v>New-hire setup</x:v>
      </x:c>
      <x:c r="B21" s="45" t="n">
        <x:f>'Economy'!$C$45</x:f>
        <x:v>25</x:v>
      </x:c>
      <x:c r="C21" s="10" t="str">
        <x:v>credits / hire</x:v>
      </x:c>
      <x:c r="D21" s="10" t="str">
        <x:v>Economy!C45</x:v>
      </x:c>
      <x:c r="E21" s="52" t="str">
        <x:v>One-time setup, separate from daily pay.</x:v>
      </x:c>
    </x:row>
    <x:row r="22" ht="20" customHeight="1">
      <x:c r="A22" s="10" t="str">
        <x:v>Outpost lease and service</x:v>
      </x:c>
      <x:c r="B22" s="45" t="n">
        <x:f>'Economy'!$C$51</x:f>
        <x:v>17</x:v>
      </x:c>
      <x:c r="C22" s="10" t="str">
        <x:v>credits / outpost-day</x:v>
      </x:c>
      <x:c r="D22" s="10" t="str">
        <x:v>Economy!C51</x:v>
      </x:c>
      <x:c r="E22" s="52" t="str">
        <x:v>Wages and physical provisions stay separate.</x:v>
      </x:c>
    </x:row>
    <x:row r="23" ht="20" customHeight="1">
      <x:c r="A23" s="10" t="str">
        <x:v>Additional facility rent</x:v>
      </x:c>
      <x:c r="B23" s="45" t="n">
        <x:f>'Economy'!$C$53</x:f>
        <x:v>8</x:v>
      </x:c>
      <x:c r="C23" s="10" t="str">
        <x:v>credits / active day</x:v>
      </x:c>
      <x:c r="D23" s="10" t="str">
        <x:v>Economy!C53</x:v>
      </x:c>
      <x:c r="E23" s="52" t="str">
        <x:v>No charge when no extra company space is rented.</x:v>
      </x:c>
    </x:row>
    <x:row r="24" ht="20" customHeight="1">
      <x:c r="A24" s="10" t="str">
        <x:v>Survey-kit restock</x:v>
      </x:c>
      <x:c r="B24" s="45" t="n">
        <x:f>'Economy'!$C$47</x:f>
        <x:v>40</x:v>
      </x:c>
      <x:c r="C24" s="10" t="str">
        <x:v>credits / order</x:v>
      </x:c>
      <x:c r="D24" s="10" t="str">
        <x:v>Economy!C47</x:v>
      </x:c>
      <x:c r="E24" s="52" t="str">
        <x:v>Order cost only; the shipment remains physical stock.</x:v>
      </x:c>
    </x:row>
    <x:row r="25" ht="20" customHeight="1">
      <x:c r="A25" s="10" t="str">
        <x:v>Research materials</x:v>
      </x:c>
      <x:c r="B25" s="45" t="n">
        <x:f>'Economy'!$C$49</x:f>
        <x:v>20</x:v>
      </x:c>
      <x:c r="C25" s="10" t="str">
        <x:v>credits / order</x:v>
      </x:c>
      <x:c r="D25" s="10" t="str">
        <x:v>Economy!C49</x:v>
      </x:c>
      <x:c r="E25" s="52" t="str">
        <x:v>Physical supplies only; research itself adds no hidden fee.</x:v>
      </x:c>
    </x:row>
    <x:row r="26" ht="20" customHeight="1">
      <x:c r="A26" s="10" t="str">
        <x:v>Stage 1 close after successful survey</x:v>
      </x:c>
      <x:c r="B26" s="45" t="n">
        <x:f>'Economy'!$B$19</x:f>
        <x:v>595</x:v>
      </x:c>
      <x:c r="C26" s="10" t="str">
        <x:v>credits</x:v>
      </x:c>
      <x:c r="D26" s="10" t="str">
        <x:v>Economy!B19</x:v>
      </x:c>
      <x:c r="E26" s="52" t="str">
        <x:v>Starting point for the planning case.</x:v>
      </x:c>
    </x:row>
    <x:row r="27" ht="20" customHeight="1">
      <x:c r="A27" s="10" t="str">
        <x:v>Stage 1 close without survey receipt</x:v>
      </x:c>
      <x:c r="B27" s="45" t="n">
        <x:f>'Economy'!$B$19-'Economy'!$B$8</x:f>
        <x:v>355</x:v>
      </x:c>
      <x:c r="C27" s="10" t="str">
        <x:v>credits</x:v>
      </x:c>
      <x:c r="D27" s="10" t="str">
        <x:v>Economy!B19 minus Economy!B8</x:v>
      </x:c>
      <x:c r="E27" s="52" t="str">
        <x:v>Starting point for the downside case.</x:v>
      </x:c>
    </x:row>
    <x:row r="28" ht="20" customHeight="1">
      <x:c r="A28" s="10"/>
      <x:c r="B28" s="10"/>
      <x:c r="C28" s="10"/>
      <x:c r="D28" s="10"/>
      <x:c r="E28" s="52"/>
    </x:row>
    <x:row r="29" ht="20" customHeight="1">
      <x:c r="A29" s="10"/>
      <x:c r="B29" s="10"/>
      <x:c r="C29" s="10"/>
      <x:c r="D29" s="10"/>
      <x:c r="E29" s="52"/>
    </x:row>
    <x:row r="30" ht="20" customHeight="1">
      <x:c r="A30" s="32" t="str">
        <x:v>Stage 2: Repeat access</x:v>
      </x:c>
      <x:c r="B30" s="32"/>
      <x:c r="C30" s="32"/>
      <x:c r="D30" s="32"/>
      <x:c r="E30" s="55"/>
    </x:row>
    <x:row r="31" ht="20" customHeight="1">
      <x:c r="A31" s="35" t="str">
        <x:v>Type</x:v>
      </x:c>
      <x:c r="B31" s="35" t="str">
        <x:v>Driver</x:v>
      </x:c>
      <x:c r="C31" s="35" t="str">
        <x:v>Value</x:v>
      </x:c>
      <x:c r="D31" s="35" t="str">
        <x:v>Unit</x:v>
      </x:c>
      <x:c r="E31" s="56" t="str">
        <x:v>Basis / status</x:v>
      </x:c>
    </x:row>
    <x:row r="32" ht="20" customHeight="1">
      <x:c r="A32" s="10" t="str">
        <x:v>Input</x:v>
      </x:c>
      <x:c r="B32" s="10" t="str">
        <x:v>Period length</x:v>
      </x:c>
      <x:c r="C32" s="39" t="n">
        <x:v>30</x:v>
      </x:c>
      <x:c r="D32" s="10" t="str">
        <x:v>days</x:v>
      </x:c>
      <x:c r="E32" s="52" t="str">
        <x:v>All daily costs use the full 30-day period.</x:v>
      </x:c>
    </x:row>
    <x:row r="33" ht="20" customHeight="1">
      <x:c r="A33" s="10" t="str">
        <x:v>Input</x:v>
      </x:c>
      <x:c r="B33" s="10" t="str">
        <x:v>Active staff</x:v>
      </x:c>
      <x:c r="C33" s="39" t="n">
        <x:v>5</x:v>
      </x:c>
      <x:c r="D33" s="10" t="str">
        <x:v>pawns</x:v>
      </x:c>
      <x:c r="E33" s="52" t="str">
        <x:v>Uses the current five-person team for all 30 days.</x:v>
      </x:c>
    </x:row>
    <x:row r="34" ht="20" customHeight="1">
      <x:c r="A34" s="10" t="str">
        <x:v>Input</x:v>
      </x:c>
      <x:c r="B34" s="10" t="str">
        <x:v>New hires</x:v>
      </x:c>
      <x:c r="C34" s="39" t="n">
        <x:v>0</x:v>
      </x:c>
      <x:c r="D34" s="10" t="str">
        <x:v>pawns</x:v>
      </x:c>
      <x:c r="E34" s="52" t="str">
        <x:v>No hires in this case.</x:v>
      </x:c>
    </x:row>
    <x:row r="35" ht="20" customHeight="1">
      <x:c r="A35" s="10" t="str">
        <x:v>Input</x:v>
      </x:c>
      <x:c r="B35" s="10" t="str">
        <x:v>Contracts paid, planning case</x:v>
      </x:c>
      <x:c r="C35" s="39" t="n">
        <x:v>2</x:v>
      </x:c>
      <x:c r="D35" s="10" t="str">
        <x:v>contracts</x:v>
      </x:c>
      <x:c r="E35" s="52" t="str">
        <x:v>Two completed contracts paid within the period.</x:v>
      </x:c>
    </x:row>
    <x:row r="36" ht="20" customHeight="1">
      <x:c r="A36" s="10" t="str">
        <x:v>Input</x:v>
      </x:c>
      <x:c r="B36" s="10" t="str">
        <x:v>Contracts paid, downside case</x:v>
      </x:c>
      <x:c r="C36" s="39" t="n">
        <x:v>1</x:v>
      </x:c>
      <x:c r="D36" s="10" t="str">
        <x:v>contracts</x:v>
      </x:c>
      <x:c r="E36" s="52" t="str">
        <x:v>One fewer paid contract; planned costs stay the same.</x:v>
      </x:c>
    </x:row>
    <x:row r="37" ht="20" customHeight="1">
      <x:c r="A37" s="10" t="str">
        <x:v>Input</x:v>
      </x:c>
      <x:c r="B37" s="10" t="str">
        <x:v>Average payment per paid contract</x:v>
      </x:c>
      <x:c r="C37" s="39" t="n">
        <x:v>240</x:v>
      </x:c>
      <x:c r="D37" s="10" t="str">
        <x:v>credits / contract</x:v>
      </x:c>
      <x:c r="E37" s="52" t="str">
        <x:v>Estimate anchored to the first 240-credit survey; later quote is open.</x:v>
      </x:c>
    </x:row>
    <x:row r="38" ht="20" customHeight="1">
      <x:c r="A38" s="10" t="str">
        <x:v>Input</x:v>
      </x:c>
      <x:c r="B38" s="10" t="str">
        <x:v>Active outpost days</x:v>
      </x:c>
      <x:c r="C38" s="39" t="n">
        <x:v>0</x:v>
      </x:c>
      <x:c r="D38" s="10" t="str">
        <x:v>days</x:v>
      </x:c>
      <x:c r="E38" s="52" t="str">
        <x:v>No active outpost in this case.</x:v>
      </x:c>
    </x:row>
    <x:row r="39" ht="20" customHeight="1">
      <x:c r="A39" s="10" t="str">
        <x:v>Input</x:v>
      </x:c>
      <x:c r="B39" s="10" t="str">
        <x:v>Additional company facility days</x:v>
      </x:c>
      <x:c r="C39" s="39" t="n">
        <x:v>0</x:v>
      </x:c>
      <x:c r="D39" s="10" t="str">
        <x:v>days</x:v>
      </x:c>
      <x:c r="E39" s="52" t="str">
        <x:v>No additional company rooms rented.</x:v>
      </x:c>
    </x:row>
    <x:row r="40" ht="20" customHeight="1">
      <x:c r="A40" s="10" t="str">
        <x:v>Input</x:v>
      </x:c>
      <x:c r="B40" s="10" t="str">
        <x:v>Survey-kit restock orders</x:v>
      </x:c>
      <x:c r="C40" s="39" t="n">
        <x:v>1</x:v>
      </x:c>
      <x:c r="D40" s="10" t="str">
        <x:v>orders</x:v>
      </x:c>
      <x:c r="E40" s="52" t="str">
        <x:v>One physical kit order, paid once when ordered.</x:v>
      </x:c>
    </x:row>
    <x:row r="41" ht="20" customHeight="1">
      <x:c r="A41" s="10" t="str">
        <x:v>Input</x:v>
      </x:c>
      <x:c r="B41" s="10" t="str">
        <x:v>Research-material orders</x:v>
      </x:c>
      <x:c r="C41" s="39" t="n">
        <x:v>0</x:v>
      </x:c>
      <x:c r="D41" s="10" t="str">
        <x:v>orders</x:v>
      </x:c>
      <x:c r="E41" s="52" t="str">
        <x:v>No paid research-material order in this case.</x:v>
      </x:c>
    </x:row>
    <x:row r="42" ht="20" customHeight="1">
      <x:c r="A42" s="10" t="str">
        <x:v>Input</x:v>
      </x:c>
      <x:c r="B42" s="10" t="str">
        <x:v>Other quoted support costs</x:v>
      </x:c>
      <x:c r="C42" s="39" t="n">
        <x:v>0</x:v>
      </x:c>
      <x:c r="D42" s="10" t="str">
        <x:v>credits / period</x:v>
      </x:c>
      <x:c r="E42" s="52" t="str">
        <x:v>No separate quoted repair or transport order.</x:v>
      </x:c>
    </x:row>
    <x:row r="43" ht="20" customHeight="1">
      <x:c r="A43" s="10" t="str">
        <x:v>Calculation</x:v>
      </x:c>
      <x:c r="B43" s="10" t="str">
        <x:v>Opening credits, planning case</x:v>
      </x:c>
      <x:c r="C43" s="14" t="n">
        <x:f>$B$26</x:f>
        <x:v>595</x:v>
      </x:c>
      <x:c r="D43" s="10" t="str">
        <x:v>credits</x:v>
      </x:c>
      <x:c r="E43" s="52" t="str">
        <x:v>Carries the prior stage balance; no shared-player credits.</x:v>
      </x:c>
    </x:row>
    <x:row r="44" ht="20" customHeight="1">
      <x:c r="A44" s="10" t="str">
        <x:v>Calculation</x:v>
      </x:c>
      <x:c r="B44" s="10" t="str">
        <x:v>Contract receipts, planning case</x:v>
      </x:c>
      <x:c r="C44" s="14" t="n">
        <x:f>C35*C37</x:f>
        <x:v>480</x:v>
      </x:c>
      <x:c r="D44" s="10" t="str">
        <x:v>credits</x:v>
      </x:c>
      <x:c r="E44" s="52" t="str">
        <x:v>Only completed, paid contracts create receipts.</x:v>
      </x:c>
    </x:row>
    <x:row r="45" ht="20" customHeight="1">
      <x:c r="A45" s="10" t="str">
        <x:v>Calculation</x:v>
      </x:c>
      <x:c r="B45" s="10" t="str">
        <x:v>Payroll</x:v>
      </x:c>
      <x:c r="C45" s="14" t="n">
        <x:f>-(C33*$B$18*C32)</x:f>
        <x:v>-300</x:v>
      </x:c>
      <x:c r="D45" s="10" t="str">
        <x:v>credits</x:v>
      </x:c>
      <x:c r="E45" s="52" t="str">
        <x:v>Full-period staffing at the linked first-slice base rate.</x:v>
      </x:c>
    </x:row>
    <x:row r="46" ht="20" customHeight="1">
      <x:c r="A46" s="10" t="str">
        <x:v>Calculation</x:v>
      </x:c>
      <x:c r="B46" s="10" t="str">
        <x:v>Headquarters overhead</x:v>
      </x:c>
      <x:c r="C46" s="14" t="n">
        <x:f>-(C32*$B$19)</x:f>
        <x:v>-120</x:v>
      </x:c>
      <x:c r="D46" s="10" t="str">
        <x:v>credits</x:v>
      </x:c>
      <x:c r="E46" s="52" t="str">
        <x:v>Linked first-slice rate; not a charge for power draw.</x:v>
      </x:c>
    </x:row>
    <x:row r="47" ht="20" customHeight="1">
      <x:c r="A47" s="10" t="str">
        <x:v>Calculation</x:v>
      </x:c>
      <x:c r="B47" s="10" t="str">
        <x:v>Food replenishment</x:v>
      </x:c>
      <x:c r="C47" s="14" t="n">
        <x:f>-(C33*C32*$B$20)</x:f>
        <x:v>-150</x:v>
      </x:c>
      <x:c r="D47" s="10" t="str">
        <x:v>credits</x:v>
      </x:c>
      <x:c r="E47" s="52" t="str">
        <x:v>Full-period crew food at the linked first-slice rate.</x:v>
      </x:c>
    </x:row>
    <x:row r="48" ht="20" customHeight="1">
      <x:c r="A48" s="10" t="str">
        <x:v>Calculation</x:v>
      </x:c>
      <x:c r="B48" s="10" t="str">
        <x:v>New-hire setup</x:v>
      </x:c>
      <x:c r="C48" s="14" t="n">
        <x:f>-(C34*$B$21)</x:f>
        <x:v>0</x:v>
      </x:c>
      <x:c r="D48" s="10" t="str">
        <x:v>credits</x:v>
      </x:c>
      <x:c r="E48" s="52" t="str">
        <x:v>Linked one-time onboarding charge for each new hire.</x:v>
      </x:c>
    </x:row>
    <x:row r="49" ht="20" customHeight="1">
      <x:c r="A49" s="10" t="str">
        <x:v>Calculation</x:v>
      </x:c>
      <x:c r="B49" s="10" t="str">
        <x:v>Outpost operation</x:v>
      </x:c>
      <x:c r="C49" s="14" t="n">
        <x:f>-(C38*$B$22)</x:f>
        <x:v>0</x:v>
      </x:c>
      <x:c r="D49" s="10" t="str">
        <x:v>credits</x:v>
      </x:c>
      <x:c r="E49" s="52" t="str">
        <x:v>Local site/service cost; physical food and wages are separate.</x:v>
      </x:c>
    </x:row>
    <x:row r="50" ht="20" customHeight="1">
      <x:c r="A50" s="10" t="str">
        <x:v>Calculation</x:v>
      </x:c>
      <x:c r="B50" s="10" t="str">
        <x:v>Additional facility rent</x:v>
      </x:c>
      <x:c r="C50" s="14" t="n">
        <x:f>-(C39*$B$23)</x:f>
        <x:v>0</x:v>
      </x:c>
      <x:c r="D50" s="10" t="str">
        <x:v>credits</x:v>
      </x:c>
      <x:c r="E50" s="52" t="str">
        <x:v>Only applies to rented company space, not client lease income.</x:v>
      </x:c>
    </x:row>
    <x:row r="51" ht="20" customHeight="1">
      <x:c r="A51" s="10" t="str">
        <x:v>Calculation</x:v>
      </x:c>
      <x:c r="B51" s="10" t="str">
        <x:v>Survey-kit orders</x:v>
      </x:c>
      <x:c r="C51" s="14" t="n">
        <x:f>-(C40*$B$24)</x:f>
        <x:v>-40</x:v>
      </x:c>
      <x:c r="D51" s="10" t="str">
        <x:v>credits</x:v>
      </x:c>
      <x:c r="E51" s="52" t="str">
        <x:v>Credit order is paid once; physical shipment arrives later.</x:v>
      </x:c>
    </x:row>
    <x:row r="52" ht="20" customHeight="1">
      <x:c r="A52" s="10" t="str">
        <x:v>Calculation</x:v>
      </x:c>
      <x:c r="B52" s="10" t="str">
        <x:v>Research-material orders</x:v>
      </x:c>
      <x:c r="C52" s="14" t="n">
        <x:f>-(C41*$B$25)</x:f>
        <x:v>0</x:v>
      </x:c>
      <x:c r="D52" s="10" t="str">
        <x:v>credits</x:v>
      </x:c>
      <x:c r="E52" s="52" t="str">
        <x:v>Credit order is paid once; supplies remain physical stock.</x:v>
      </x:c>
    </x:row>
    <x:row r="53" ht="20" customHeight="1">
      <x:c r="A53" s="10" t="str">
        <x:v>Calculation</x:v>
      </x:c>
      <x:c r="B53" s="10" t="str">
        <x:v>Other quoted support costs</x:v>
      </x:c>
      <x:c r="C53" s="14" t="n">
        <x:f>-C42</x:f>
        <x:v>0</x:v>
      </x:c>
      <x:c r="D53" s="10" t="str">
        <x:v>credits</x:v>
      </x:c>
      <x:c r="E53" s="52" t="str">
        <x:v>Explicit quote placeholder only; no automatic fee is permitted.</x:v>
      </x:c>
    </x:row>
    <x:row r="54" ht="20" customHeight="1">
      <x:c r="A54" s="41" t="str">
        <x:v>Output</x:v>
      </x:c>
      <x:c r="B54" s="41" t="str">
        <x:v>Closing credits, planning case</x:v>
      </x:c>
      <x:c r="C54" s="42" t="n">
        <x:f>C43+C44+SUM(C45:C53)</x:f>
        <x:v>465</x:v>
      </x:c>
      <x:c r="D54" s="41" t="str">
        <x:v>credits</x:v>
      </x:c>
      <x:c r="E54" s="59" t="str">
        <x:v>Planning close after listed receipts and costs.</x:v>
      </x:c>
    </x:row>
    <x:row r="55" ht="20" customHeight="1">
      <x:c r="A55" s="10" t="str">
        <x:v>Calculation</x:v>
      </x:c>
      <x:c r="B55" s="10" t="str">
        <x:v>Opening credits, downside case</x:v>
      </x:c>
      <x:c r="C55" s="14" t="n">
        <x:f>$B$27</x:f>
        <x:v>355</x:v>
      </x:c>
      <x:c r="D55" s="10" t="str">
        <x:v>credits</x:v>
      </x:c>
      <x:c r="E55" s="52" t="str">
        <x:v>Carries the no-receipt/fewer-contracts downside forward.</x:v>
      </x:c>
    </x:row>
    <x:row r="56" ht="20" customHeight="1">
      <x:c r="A56" s="10" t="str">
        <x:v>Calculation</x:v>
      </x:c>
      <x:c r="B56" s="10" t="str">
        <x:v>Contract receipts, downside case</x:v>
      </x:c>
      <x:c r="C56" s="14" t="n">
        <x:f>C36*C37</x:f>
        <x:v>240</x:v>
      </x:c>
      <x:c r="D56" s="10" t="str">
        <x:v>credits</x:v>
      </x:c>
      <x:c r="E56" s="52" t="str">
        <x:v>Only completed, paid contracts create receipts.</x:v>
      </x:c>
    </x:row>
    <x:row r="57" ht="20" customHeight="1">
      <x:c r="A57" s="41" t="str">
        <x:v>Output</x:v>
      </x:c>
      <x:c r="B57" s="41" t="str">
        <x:v>Closing credits, downside case</x:v>
      </x:c>
      <x:c r="C57" s="42" t="n">
        <x:f>C55+C56+SUM(C45:C53)</x:f>
        <x:v>-15</x:v>
      </x:c>
      <x:c r="D57" s="41" t="str">
        <x:v>credits</x:v>
      </x:c>
      <x:c r="E57" s="59" t="str">
        <x:v>Negative output means the planned commitments need funding.</x:v>
      </x:c>
    </x:row>
    <x:row r="58" ht="20" customHeight="1">
      <x:c r="A58" s="12" t="str">
        <x:v>Output</x:v>
      </x:c>
      <x:c r="B58" s="12" t="str">
        <x:v>Downside funding gap</x:v>
      </x:c>
      <x:c r="C58" s="40" t="n">
        <x:f>MAX(0,-C57)</x:f>
        <x:v>15</x:v>
      </x:c>
      <x:c r="D58" s="12" t="str">
        <x:v>credits</x:v>
      </x:c>
      <x:c r="E58" s="60" t="str">
        <x:v>Size of the downside shortfall; no borrowing rule is implied.</x:v>
      </x:c>
    </x:row>
    <x:row r="59" ht="20" customHeight="1">
      <x:c r="A59" s="10"/>
      <x:c r="B59" s="10"/>
      <x:c r="C59" s="10"/>
      <x:c r="D59" s="10"/>
      <x:c r="E59" s="52"/>
    </x:row>
    <x:row r="60" ht="20" customHeight="1">
      <x:c r="A60" s="32" t="str">
        <x:v>Stage 3: Specialist services</x:v>
      </x:c>
      <x:c r="B60" s="32"/>
      <x:c r="C60" s="32"/>
      <x:c r="D60" s="32"/>
      <x:c r="E60" s="55"/>
    </x:row>
    <x:row r="61" ht="20" customHeight="1">
      <x:c r="A61" s="35" t="str">
        <x:v>Type</x:v>
      </x:c>
      <x:c r="B61" s="35" t="str">
        <x:v>Driver</x:v>
      </x:c>
      <x:c r="C61" s="35" t="str">
        <x:v>Value</x:v>
      </x:c>
      <x:c r="D61" s="35" t="str">
        <x:v>Unit</x:v>
      </x:c>
      <x:c r="E61" s="56" t="str">
        <x:v>Basis / status</x:v>
      </x:c>
    </x:row>
    <x:row r="62" ht="20" customHeight="1">
      <x:c r="A62" s="10" t="str">
        <x:v>Input</x:v>
      </x:c>
      <x:c r="B62" s="10" t="str">
        <x:v>Period length</x:v>
      </x:c>
      <x:c r="C62" s="39" t="n">
        <x:v>30</x:v>
      </x:c>
      <x:c r="D62" s="10" t="str">
        <x:v>days</x:v>
      </x:c>
      <x:c r="E62" s="52" t="str">
        <x:v>All daily costs use the full 30-day period.</x:v>
      </x:c>
    </x:row>
    <x:row r="63" ht="20" customHeight="1">
      <x:c r="A63" s="10" t="str">
        <x:v>Input</x:v>
      </x:c>
      <x:c r="B63" s="10" t="str">
        <x:v>Active staff</x:v>
      </x:c>
      <x:c r="C63" s="39" t="n">
        <x:v>7</x:v>
      </x:c>
      <x:c r="D63" s="10" t="str">
        <x:v>pawns</x:v>
      </x:c>
      <x:c r="E63" s="52" t="str">
        <x:v>Specialist pay premiums are not modeled.</x:v>
      </x:c>
    </x:row>
    <x:row r="64" ht="20" customHeight="1">
      <x:c r="A64" s="10" t="str">
        <x:v>Input</x:v>
      </x:c>
      <x:c r="B64" s="10" t="str">
        <x:v>New hires</x:v>
      </x:c>
      <x:c r="C64" s="39" t="n">
        <x:v>2</x:v>
      </x:c>
      <x:c r="D64" s="10" t="str">
        <x:v>pawns</x:v>
      </x:c>
      <x:c r="E64" s="52" t="str">
        <x:v>Two new hires begin at the start of the period.</x:v>
      </x:c>
    </x:row>
    <x:row r="65" ht="20" customHeight="1">
      <x:c r="A65" s="10" t="str">
        <x:v>Input</x:v>
      </x:c>
      <x:c r="B65" s="10" t="str">
        <x:v>Contracts paid, planning case</x:v>
      </x:c>
      <x:c r="C65" s="39" t="n">
        <x:v>3</x:v>
      </x:c>
      <x:c r="D65" s="10" t="str">
        <x:v>contracts</x:v>
      </x:c>
      <x:c r="E65" s="52" t="str">
        <x:v>Three completed service contracts paid within the period.</x:v>
      </x:c>
    </x:row>
    <x:row r="66" ht="20" customHeight="1">
      <x:c r="A66" s="10" t="str">
        <x:v>Input</x:v>
      </x:c>
      <x:c r="B66" s="10" t="str">
        <x:v>Contracts paid, downside case</x:v>
      </x:c>
      <x:c r="C66" s="39" t="n">
        <x:v>1</x:v>
      </x:c>
      <x:c r="D66" s="10" t="str">
        <x:v>contracts</x:v>
      </x:c>
      <x:c r="E66" s="52" t="str">
        <x:v>Two fewer paid contracts; planned costs stay the same.</x:v>
      </x:c>
    </x:row>
    <x:row r="67" ht="20" customHeight="1">
      <x:c r="A67" s="10" t="str">
        <x:v>Input</x:v>
      </x:c>
      <x:c r="B67" s="10" t="str">
        <x:v>Average payment per paid contract</x:v>
      </x:c>
      <x:c r="C67" s="39" t="n">
        <x:v>300</x:v>
      </x:c>
      <x:c r="D67" s="10" t="str">
        <x:v>credits / contract</x:v>
      </x:c>
      <x:c r="E67" s="52" t="str">
        <x:v>Editable service quote estimate; actual contract cards set payment.</x:v>
      </x:c>
    </x:row>
    <x:row r="68" ht="20" customHeight="1">
      <x:c r="A68" s="10" t="str">
        <x:v>Input</x:v>
      </x:c>
      <x:c r="B68" s="10" t="str">
        <x:v>Active outpost days</x:v>
      </x:c>
      <x:c r="C68" s="39" t="n">
        <x:v>0</x:v>
      </x:c>
      <x:c r="D68" s="10" t="str">
        <x:v>days</x:v>
      </x:c>
      <x:c r="E68" s="52" t="str">
        <x:v>No active outpost in this case.</x:v>
      </x:c>
    </x:row>
    <x:row r="69" ht="20" customHeight="1">
      <x:c r="A69" s="10" t="str">
        <x:v>Input</x:v>
      </x:c>
      <x:c r="B69" s="10" t="str">
        <x:v>Additional company facility days</x:v>
      </x:c>
      <x:c r="C69" s="39" t="n">
        <x:v>0</x:v>
      </x:c>
      <x:c r="D69" s="10" t="str">
        <x:v>days</x:v>
      </x:c>
      <x:c r="E69" s="52" t="str">
        <x:v>No additional company rooms rented.</x:v>
      </x:c>
    </x:row>
    <x:row r="70" ht="20" customHeight="1">
      <x:c r="A70" s="10" t="str">
        <x:v>Input</x:v>
      </x:c>
      <x:c r="B70" s="10" t="str">
        <x:v>Survey-kit restock orders</x:v>
      </x:c>
      <x:c r="C70" s="39" t="n">
        <x:v>1</x:v>
      </x:c>
      <x:c r="D70" s="10" t="str">
        <x:v>orders</x:v>
      </x:c>
      <x:c r="E70" s="52" t="str">
        <x:v>One physical kit order, paid once when ordered.</x:v>
      </x:c>
    </x:row>
    <x:row r="71" ht="20" customHeight="1">
      <x:c r="A71" s="10" t="str">
        <x:v>Input</x:v>
      </x:c>
      <x:c r="B71" s="10" t="str">
        <x:v>Research-material orders</x:v>
      </x:c>
      <x:c r="C71" s="39" t="n">
        <x:v>1</x:v>
      </x:c>
      <x:c r="D71" s="10" t="str">
        <x:v>orders</x:v>
      </x:c>
      <x:c r="E71" s="52" t="str">
        <x:v>One order of physical research supplies.</x:v>
      </x:c>
    </x:row>
    <x:row r="72" ht="20" customHeight="1">
      <x:c r="A72" s="10" t="str">
        <x:v>Input</x:v>
      </x:c>
      <x:c r="B72" s="10" t="str">
        <x:v>Other quoted support costs</x:v>
      </x:c>
      <x:c r="C72" s="39" t="n">
        <x:v>0</x:v>
      </x:c>
      <x:c r="D72" s="10" t="str">
        <x:v>credits / period</x:v>
      </x:c>
      <x:c r="E72" s="52" t="str">
        <x:v>No separate quoted repair or transport order.</x:v>
      </x:c>
    </x:row>
    <x:row r="73" ht="20" customHeight="1">
      <x:c r="A73" s="10" t="str">
        <x:v>Calculation</x:v>
      </x:c>
      <x:c r="B73" s="10" t="str">
        <x:v>Opening credits, planning case</x:v>
      </x:c>
      <x:c r="C73" s="14" t="n">
        <x:f>C54</x:f>
        <x:v>465</x:v>
      </x:c>
      <x:c r="D73" s="10" t="str">
        <x:v>credits</x:v>
      </x:c>
      <x:c r="E73" s="52" t="str">
        <x:v>Carries the prior stage balance; no shared-player credits.</x:v>
      </x:c>
    </x:row>
    <x:row r="74" ht="20" customHeight="1">
      <x:c r="A74" s="10" t="str">
        <x:v>Calculation</x:v>
      </x:c>
      <x:c r="B74" s="10" t="str">
        <x:v>Contract receipts, planning case</x:v>
      </x:c>
      <x:c r="C74" s="14" t="n">
        <x:f>C65*C67</x:f>
        <x:v>900</x:v>
      </x:c>
      <x:c r="D74" s="10" t="str">
        <x:v>credits</x:v>
      </x:c>
      <x:c r="E74" s="52" t="str">
        <x:v>Only completed, paid contracts create receipts.</x:v>
      </x:c>
    </x:row>
    <x:row r="75" ht="20" customHeight="1">
      <x:c r="A75" s="10" t="str">
        <x:v>Calculation</x:v>
      </x:c>
      <x:c r="B75" s="10" t="str">
        <x:v>Payroll</x:v>
      </x:c>
      <x:c r="C75" s="14" t="n">
        <x:f>-(C63*$B$18*C62)</x:f>
        <x:v>-420</x:v>
      </x:c>
      <x:c r="D75" s="10" t="str">
        <x:v>credits</x:v>
      </x:c>
      <x:c r="E75" s="52" t="str">
        <x:v>Full-period staffing at the linked first-slice base rate.</x:v>
      </x:c>
    </x:row>
    <x:row r="76" ht="20" customHeight="1">
      <x:c r="A76" s="10" t="str">
        <x:v>Calculation</x:v>
      </x:c>
      <x:c r="B76" s="10" t="str">
        <x:v>Headquarters overhead</x:v>
      </x:c>
      <x:c r="C76" s="14" t="n">
        <x:f>-(C62*$B$19)</x:f>
        <x:v>-120</x:v>
      </x:c>
      <x:c r="D76" s="10" t="str">
        <x:v>credits</x:v>
      </x:c>
      <x:c r="E76" s="52" t="str">
        <x:v>Linked first-slice rate; not a charge for power draw.</x:v>
      </x:c>
    </x:row>
    <x:row r="77" ht="20" customHeight="1">
      <x:c r="A77" s="10" t="str">
        <x:v>Calculation</x:v>
      </x:c>
      <x:c r="B77" s="10" t="str">
        <x:v>Food replenishment</x:v>
      </x:c>
      <x:c r="C77" s="14" t="n">
        <x:f>-(C63*C62*$B$20)</x:f>
        <x:v>-210</x:v>
      </x:c>
      <x:c r="D77" s="10" t="str">
        <x:v>credits</x:v>
      </x:c>
      <x:c r="E77" s="52" t="str">
        <x:v>Full-period crew food at the linked first-slice rate.</x:v>
      </x:c>
    </x:row>
    <x:row r="78" ht="20" customHeight="1">
      <x:c r="A78" s="10" t="str">
        <x:v>Calculation</x:v>
      </x:c>
      <x:c r="B78" s="10" t="str">
        <x:v>New-hire setup</x:v>
      </x:c>
      <x:c r="C78" s="14" t="n">
        <x:f>-(C64*$B$21)</x:f>
        <x:v>-50</x:v>
      </x:c>
      <x:c r="D78" s="10" t="str">
        <x:v>credits</x:v>
      </x:c>
      <x:c r="E78" s="52" t="str">
        <x:v>Linked one-time onboarding charge for each new hire.</x:v>
      </x:c>
    </x:row>
    <x:row r="79" ht="20" customHeight="1">
      <x:c r="A79" s="10" t="str">
        <x:v>Calculation</x:v>
      </x:c>
      <x:c r="B79" s="10" t="str">
        <x:v>Outpost operation</x:v>
      </x:c>
      <x:c r="C79" s="14" t="n">
        <x:f>-(C68*$B$22)</x:f>
        <x:v>0</x:v>
      </x:c>
      <x:c r="D79" s="10" t="str">
        <x:v>credits</x:v>
      </x:c>
      <x:c r="E79" s="52" t="str">
        <x:v>Local site/service cost; physical food and wages are separate.</x:v>
      </x:c>
    </x:row>
    <x:row r="80" ht="20" customHeight="1">
      <x:c r="A80" s="10" t="str">
        <x:v>Calculation</x:v>
      </x:c>
      <x:c r="B80" s="10" t="str">
        <x:v>Additional facility rent</x:v>
      </x:c>
      <x:c r="C80" s="14" t="n">
        <x:f>-(C69*$B$23)</x:f>
        <x:v>0</x:v>
      </x:c>
      <x:c r="D80" s="10" t="str">
        <x:v>credits</x:v>
      </x:c>
      <x:c r="E80" s="52" t="str">
        <x:v>Only applies to rented company space, not client lease income.</x:v>
      </x:c>
    </x:row>
    <x:row r="81" ht="20" customHeight="1">
      <x:c r="A81" s="10" t="str">
        <x:v>Calculation</x:v>
      </x:c>
      <x:c r="B81" s="10" t="str">
        <x:v>Survey-kit orders</x:v>
      </x:c>
      <x:c r="C81" s="14" t="n">
        <x:f>-(C70*$B$24)</x:f>
        <x:v>-40</x:v>
      </x:c>
      <x:c r="D81" s="10" t="str">
        <x:v>credits</x:v>
      </x:c>
      <x:c r="E81" s="52" t="str">
        <x:v>Credit order is paid once; physical shipment arrives later.</x:v>
      </x:c>
    </x:row>
    <x:row r="82" ht="20" customHeight="1">
      <x:c r="A82" s="10" t="str">
        <x:v>Calculation</x:v>
      </x:c>
      <x:c r="B82" s="10" t="str">
        <x:v>Research-material orders</x:v>
      </x:c>
      <x:c r="C82" s="14" t="n">
        <x:f>-(C71*$B$25)</x:f>
        <x:v>-20</x:v>
      </x:c>
      <x:c r="D82" s="10" t="str">
        <x:v>credits</x:v>
      </x:c>
      <x:c r="E82" s="52" t="str">
        <x:v>Credit order is paid once; supplies remain physical stock.</x:v>
      </x:c>
    </x:row>
    <x:row r="83" ht="20" customHeight="1">
      <x:c r="A83" s="10" t="str">
        <x:v>Calculation</x:v>
      </x:c>
      <x:c r="B83" s="10" t="str">
        <x:v>Other quoted support costs</x:v>
      </x:c>
      <x:c r="C83" s="14" t="n">
        <x:f>-C72</x:f>
        <x:v>0</x:v>
      </x:c>
      <x:c r="D83" s="10" t="str">
        <x:v>credits</x:v>
      </x:c>
      <x:c r="E83" s="52" t="str">
        <x:v>Explicit quote placeholder only; no automatic fee is permitted.</x:v>
      </x:c>
    </x:row>
    <x:row r="84" ht="20" customHeight="1">
      <x:c r="A84" s="41" t="str">
        <x:v>Output</x:v>
      </x:c>
      <x:c r="B84" s="41" t="str">
        <x:v>Closing credits, planning case</x:v>
      </x:c>
      <x:c r="C84" s="42" t="n">
        <x:f>C73+C74+SUM(C75:C83)</x:f>
        <x:v>505</x:v>
      </x:c>
      <x:c r="D84" s="41" t="str">
        <x:v>credits</x:v>
      </x:c>
      <x:c r="E84" s="59" t="str">
        <x:v>Planning close after listed receipts and costs.</x:v>
      </x:c>
    </x:row>
    <x:row r="85" ht="20" customHeight="1">
      <x:c r="A85" s="10" t="str">
        <x:v>Calculation</x:v>
      </x:c>
      <x:c r="B85" s="10" t="str">
        <x:v>Opening credits, downside case</x:v>
      </x:c>
      <x:c r="C85" s="14" t="n">
        <x:f>C57</x:f>
        <x:v>-15</x:v>
      </x:c>
      <x:c r="D85" s="10" t="str">
        <x:v>credits</x:v>
      </x:c>
      <x:c r="E85" s="52" t="str">
        <x:v>Carries the no-receipt/fewer-contracts downside forward.</x:v>
      </x:c>
    </x:row>
    <x:row r="86" ht="20" customHeight="1">
      <x:c r="A86" s="10" t="str">
        <x:v>Calculation</x:v>
      </x:c>
      <x:c r="B86" s="10" t="str">
        <x:v>Contract receipts, downside case</x:v>
      </x:c>
      <x:c r="C86" s="14" t="n">
        <x:f>C66*C67</x:f>
        <x:v>300</x:v>
      </x:c>
      <x:c r="D86" s="10" t="str">
        <x:v>credits</x:v>
      </x:c>
      <x:c r="E86" s="52" t="str">
        <x:v>Only completed, paid contracts create receipts.</x:v>
      </x:c>
    </x:row>
    <x:row r="87" ht="20" customHeight="1">
      <x:c r="A87" s="41" t="str">
        <x:v>Output</x:v>
      </x:c>
      <x:c r="B87" s="41" t="str">
        <x:v>Closing credits, downside case</x:v>
      </x:c>
      <x:c r="C87" s="42" t="n">
        <x:f>C85+C86+SUM(C75:C83)</x:f>
        <x:v>-575</x:v>
      </x:c>
      <x:c r="D87" s="41" t="str">
        <x:v>credits</x:v>
      </x:c>
      <x:c r="E87" s="59" t="str">
        <x:v>Negative output means the planned commitments need funding.</x:v>
      </x:c>
    </x:row>
    <x:row r="88" ht="20" customHeight="1">
      <x:c r="A88" s="12" t="str">
        <x:v>Output</x:v>
      </x:c>
      <x:c r="B88" s="12" t="str">
        <x:v>Downside funding gap</x:v>
      </x:c>
      <x:c r="C88" s="40" t="n">
        <x:f>MAX(0,-C87)</x:f>
        <x:v>575</x:v>
      </x:c>
      <x:c r="D88" s="12" t="str">
        <x:v>credits</x:v>
      </x:c>
      <x:c r="E88" s="60" t="str">
        <x:v>Size of the downside shortfall; no borrowing rule is implied.</x:v>
      </x:c>
    </x:row>
    <x:row r="89" ht="20" customHeight="1">
      <x:c r="A89" s="10"/>
      <x:c r="B89" s="10"/>
      <x:c r="C89" s="10"/>
      <x:c r="D89" s="10"/>
      <x:c r="E89" s="52"/>
    </x:row>
    <x:row r="90" ht="20" customHeight="1">
      <x:c r="A90" s="32" t="str">
        <x:v>Stage 4: Leases and remote sites</x:v>
      </x:c>
      <x:c r="B90" s="32"/>
      <x:c r="C90" s="32"/>
      <x:c r="D90" s="32"/>
      <x:c r="E90" s="55"/>
    </x:row>
    <x:row r="91" ht="20" customHeight="1">
      <x:c r="A91" s="35" t="str">
        <x:v>Type</x:v>
      </x:c>
      <x:c r="B91" s="35" t="str">
        <x:v>Driver</x:v>
      </x:c>
      <x:c r="C91" s="35" t="str">
        <x:v>Value</x:v>
      </x:c>
      <x:c r="D91" s="35" t="str">
        <x:v>Unit</x:v>
      </x:c>
      <x:c r="E91" s="56" t="str">
        <x:v>Basis / status</x:v>
      </x:c>
    </x:row>
    <x:row r="92" ht="20" customHeight="1">
      <x:c r="A92" s="10" t="str">
        <x:v>Input</x:v>
      </x:c>
      <x:c r="B92" s="10" t="str">
        <x:v>Period length</x:v>
      </x:c>
      <x:c r="C92" s="39" t="n">
        <x:v>30</x:v>
      </x:c>
      <x:c r="D92" s="10" t="str">
        <x:v>days</x:v>
      </x:c>
      <x:c r="E92" s="52" t="str">
        <x:v>All daily costs use the full 30-day period.</x:v>
      </x:c>
    </x:row>
    <x:row r="93" ht="20" customHeight="1">
      <x:c r="A93" s="10" t="str">
        <x:v>Input</x:v>
      </x:c>
      <x:c r="B93" s="10" t="str">
        <x:v>Active staff</x:v>
      </x:c>
      <x:c r="C93" s="39" t="n">
        <x:v>8</x:v>
      </x:c>
      <x:c r="D93" s="10" t="str">
        <x:v>pawns</x:v>
      </x:c>
      <x:c r="E93" s="52" t="str">
        <x:v>Specialist pay premiums are not modeled.</x:v>
      </x:c>
    </x:row>
    <x:row r="94" ht="20" customHeight="1">
      <x:c r="A94" s="10" t="str">
        <x:v>Input</x:v>
      </x:c>
      <x:c r="B94" s="10" t="str">
        <x:v>New hires</x:v>
      </x:c>
      <x:c r="C94" s="39" t="n">
        <x:v>1</x:v>
      </x:c>
      <x:c r="D94" s="10" t="str">
        <x:v>pawns</x:v>
      </x:c>
      <x:c r="E94" s="52" t="str">
        <x:v>One new hire begins at the start of the period.</x:v>
      </x:c>
    </x:row>
    <x:row r="95" ht="20" customHeight="1">
      <x:c r="A95" s="10" t="str">
        <x:v>Input</x:v>
      </x:c>
      <x:c r="B95" s="10" t="str">
        <x:v>Contracts paid, planning case</x:v>
      </x:c>
      <x:c r="C95" s="39" t="n">
        <x:v>4</x:v>
      </x:c>
      <x:c r="D95" s="10" t="str">
        <x:v>contracts</x:v>
      </x:c>
      <x:c r="E95" s="52" t="str">
        <x:v>Four completed service/site contracts paid within the period.</x:v>
      </x:c>
    </x:row>
    <x:row r="96" ht="20" customHeight="1">
      <x:c r="A96" s="10" t="str">
        <x:v>Input</x:v>
      </x:c>
      <x:c r="B96" s="10" t="str">
        <x:v>Contracts paid, downside case</x:v>
      </x:c>
      <x:c r="C96" s="39" t="n">
        <x:v>2</x:v>
      </x:c>
      <x:c r="D96" s="10" t="str">
        <x:v>contracts</x:v>
      </x:c>
      <x:c r="E96" s="52" t="str">
        <x:v>Two fewer paid contracts; planned costs stay the same.</x:v>
      </x:c>
    </x:row>
    <x:row r="97" ht="20" customHeight="1">
      <x:c r="A97" s="10" t="str">
        <x:v>Input</x:v>
      </x:c>
      <x:c r="B97" s="10" t="str">
        <x:v>Average payment per paid contract</x:v>
      </x:c>
      <x:c r="C97" s="39" t="n">
        <x:v>400</x:v>
      </x:c>
      <x:c r="D97" s="10" t="str">
        <x:v>credits / contract</x:v>
      </x:c>
      <x:c r="E97" s="52" t="str">
        <x:v>Editable average quote; client lease receipts are not separated yet.</x:v>
      </x:c>
    </x:row>
    <x:row r="98" ht="20" customHeight="1">
      <x:c r="A98" s="10" t="str">
        <x:v>Input</x:v>
      </x:c>
      <x:c r="B98" s="10" t="str">
        <x:v>Active outpost days</x:v>
      </x:c>
      <x:c r="C98" s="39" t="n">
        <x:v>30</x:v>
      </x:c>
      <x:c r="D98" s="10" t="str">
        <x:v>days</x:v>
      </x:c>
      <x:c r="E98" s="52" t="str">
        <x:v>One outpost operates for the full period at the current 17/day hypothesis.</x:v>
      </x:c>
    </x:row>
    <x:row r="99" ht="20" customHeight="1">
      <x:c r="A99" s="10" t="str">
        <x:v>Input</x:v>
      </x:c>
      <x:c r="B99" s="10" t="str">
        <x:v>Additional company facility days</x:v>
      </x:c>
      <x:c r="C99" s="39" t="n">
        <x:v>0</x:v>
      </x:c>
      <x:c r="D99" s="10" t="str">
        <x:v>days</x:v>
      </x:c>
      <x:c r="E99" s="52" t="str">
        <x:v>No additional company rooms rented.</x:v>
      </x:c>
    </x:row>
    <x:row r="100" ht="20" customHeight="1">
      <x:c r="A100" s="10" t="str">
        <x:v>Input</x:v>
      </x:c>
      <x:c r="B100" s="10" t="str">
        <x:v>Survey-kit restock orders</x:v>
      </x:c>
      <x:c r="C100" s="39" t="n">
        <x:v>1</x:v>
      </x:c>
      <x:c r="D100" s="10" t="str">
        <x:v>orders</x:v>
      </x:c>
      <x:c r="E100" s="52" t="str">
        <x:v>One physical kit order, paid once when ordered.</x:v>
      </x:c>
    </x:row>
    <x:row r="101" ht="20" customHeight="1">
      <x:c r="A101" s="10" t="str">
        <x:v>Input</x:v>
      </x:c>
      <x:c r="B101" s="10" t="str">
        <x:v>Research-material orders</x:v>
      </x:c>
      <x:c r="C101" s="39" t="n">
        <x:v>1</x:v>
      </x:c>
      <x:c r="D101" s="10" t="str">
        <x:v>orders</x:v>
      </x:c>
      <x:c r="E101" s="52" t="str">
        <x:v>One order of physical research supplies.</x:v>
      </x:c>
    </x:row>
    <x:row r="102" ht="20" customHeight="1">
      <x:c r="A102" s="10" t="str">
        <x:v>Input</x:v>
      </x:c>
      <x:c r="B102" s="10" t="str">
        <x:v>Other quoted support costs</x:v>
      </x:c>
      <x:c r="C102" s="39" t="n">
        <x:v>0</x:v>
      </x:c>
      <x:c r="D102" s="10" t="str">
        <x:v>credits / period</x:v>
      </x:c>
      <x:c r="E102" s="52" t="str">
        <x:v>No separate quoted repair or transport order.</x:v>
      </x:c>
    </x:row>
    <x:row r="103" ht="20" customHeight="1">
      <x:c r="A103" s="10" t="str">
        <x:v>Calculation</x:v>
      </x:c>
      <x:c r="B103" s="10" t="str">
        <x:v>Opening credits, planning case</x:v>
      </x:c>
      <x:c r="C103" s="14" t="n">
        <x:f>C84</x:f>
        <x:v>505</x:v>
      </x:c>
      <x:c r="D103" s="10" t="str">
        <x:v>credits</x:v>
      </x:c>
      <x:c r="E103" s="52" t="str">
        <x:v>Carries the prior stage balance; no shared-player credits.</x:v>
      </x:c>
    </x:row>
    <x:row r="104" ht="20" customHeight="1">
      <x:c r="A104" s="10" t="str">
        <x:v>Calculation</x:v>
      </x:c>
      <x:c r="B104" s="10" t="str">
        <x:v>Contract receipts, planning case</x:v>
      </x:c>
      <x:c r="C104" s="14" t="n">
        <x:f>C95*C97</x:f>
        <x:v>1600</x:v>
      </x:c>
      <x:c r="D104" s="10" t="str">
        <x:v>credits</x:v>
      </x:c>
      <x:c r="E104" s="52" t="str">
        <x:v>Only completed, paid contracts create receipts.</x:v>
      </x:c>
    </x:row>
    <x:row r="105" ht="20" customHeight="1">
      <x:c r="A105" s="10" t="str">
        <x:v>Calculation</x:v>
      </x:c>
      <x:c r="B105" s="10" t="str">
        <x:v>Payroll</x:v>
      </x:c>
      <x:c r="C105" s="14" t="n">
        <x:f>-(C93*$B$18*C92)</x:f>
        <x:v>-480</x:v>
      </x:c>
      <x:c r="D105" s="10" t="str">
        <x:v>credits</x:v>
      </x:c>
      <x:c r="E105" s="52" t="str">
        <x:v>Full-period staffing at the linked first-slice base rate.</x:v>
      </x:c>
    </x:row>
    <x:row r="106" ht="20" customHeight="1">
      <x:c r="A106" s="10" t="str">
        <x:v>Calculation</x:v>
      </x:c>
      <x:c r="B106" s="10" t="str">
        <x:v>Headquarters overhead</x:v>
      </x:c>
      <x:c r="C106" s="14" t="n">
        <x:f>-(C92*$B$19)</x:f>
        <x:v>-120</x:v>
      </x:c>
      <x:c r="D106" s="10" t="str">
        <x:v>credits</x:v>
      </x:c>
      <x:c r="E106" s="52" t="str">
        <x:v>Linked first-slice rate; not a charge for power draw.</x:v>
      </x:c>
    </x:row>
    <x:row r="107" ht="20" customHeight="1">
      <x:c r="A107" s="10" t="str">
        <x:v>Calculation</x:v>
      </x:c>
      <x:c r="B107" s="10" t="str">
        <x:v>Food replenishment</x:v>
      </x:c>
      <x:c r="C107" s="14" t="n">
        <x:f>-(C93*C92*$B$20)</x:f>
        <x:v>-240</x:v>
      </x:c>
      <x:c r="D107" s="10" t="str">
        <x:v>credits</x:v>
      </x:c>
      <x:c r="E107" s="52" t="str">
        <x:v>Full-period crew food at the linked first-slice rate.</x:v>
      </x:c>
    </x:row>
    <x:row r="108" ht="20" customHeight="1">
      <x:c r="A108" s="10" t="str">
        <x:v>Calculation</x:v>
      </x:c>
      <x:c r="B108" s="10" t="str">
        <x:v>New-hire setup</x:v>
      </x:c>
      <x:c r="C108" s="14" t="n">
        <x:f>-(C94*$B$21)</x:f>
        <x:v>-25</x:v>
      </x:c>
      <x:c r="D108" s="10" t="str">
        <x:v>credits</x:v>
      </x:c>
      <x:c r="E108" s="52" t="str">
        <x:v>Linked one-time onboarding charge for each new hire.</x:v>
      </x:c>
    </x:row>
    <x:row r="109" ht="20" customHeight="1">
      <x:c r="A109" s="10" t="str">
        <x:v>Calculation</x:v>
      </x:c>
      <x:c r="B109" s="10" t="str">
        <x:v>Outpost operation</x:v>
      </x:c>
      <x:c r="C109" s="14" t="n">
        <x:f>-(C98*$B$22)</x:f>
        <x:v>-510</x:v>
      </x:c>
      <x:c r="D109" s="10" t="str">
        <x:v>credits</x:v>
      </x:c>
      <x:c r="E109" s="52" t="str">
        <x:v>Local site/service cost; physical food and wages are separate.</x:v>
      </x:c>
    </x:row>
    <x:row r="110" ht="20" customHeight="1">
      <x:c r="A110" s="10" t="str">
        <x:v>Calculation</x:v>
      </x:c>
      <x:c r="B110" s="10" t="str">
        <x:v>Additional facility rent</x:v>
      </x:c>
      <x:c r="C110" s="14" t="n">
        <x:f>-(C99*$B$23)</x:f>
        <x:v>0</x:v>
      </x:c>
      <x:c r="D110" s="10" t="str">
        <x:v>credits</x:v>
      </x:c>
      <x:c r="E110" s="52" t="str">
        <x:v>Only applies to rented company space, not client lease income.</x:v>
      </x:c>
    </x:row>
    <x:row r="111" ht="20" customHeight="1">
      <x:c r="A111" s="10" t="str">
        <x:v>Calculation</x:v>
      </x:c>
      <x:c r="B111" s="10" t="str">
        <x:v>Survey-kit orders</x:v>
      </x:c>
      <x:c r="C111" s="14" t="n">
        <x:f>-(C100*$B$24)</x:f>
        <x:v>-40</x:v>
      </x:c>
      <x:c r="D111" s="10" t="str">
        <x:v>credits</x:v>
      </x:c>
      <x:c r="E111" s="52" t="str">
        <x:v>Credit order is paid once; physical shipment arrives later.</x:v>
      </x:c>
    </x:row>
    <x:row r="112" ht="20" customHeight="1">
      <x:c r="A112" s="10" t="str">
        <x:v>Calculation</x:v>
      </x:c>
      <x:c r="B112" s="10" t="str">
        <x:v>Research-material orders</x:v>
      </x:c>
      <x:c r="C112" s="14" t="n">
        <x:f>-(C101*$B$25)</x:f>
        <x:v>-20</x:v>
      </x:c>
      <x:c r="D112" s="10" t="str">
        <x:v>credits</x:v>
      </x:c>
      <x:c r="E112" s="52" t="str">
        <x:v>Credit order is paid once; supplies remain physical stock.</x:v>
      </x:c>
    </x:row>
    <x:row r="113" ht="20" customHeight="1">
      <x:c r="A113" s="10" t="str">
        <x:v>Calculation</x:v>
      </x:c>
      <x:c r="B113" s="10" t="str">
        <x:v>Other quoted support costs</x:v>
      </x:c>
      <x:c r="C113" s="14" t="n">
        <x:f>-C102</x:f>
        <x:v>0</x:v>
      </x:c>
      <x:c r="D113" s="10" t="str">
        <x:v>credits</x:v>
      </x:c>
      <x:c r="E113" s="52" t="str">
        <x:v>Explicit quote placeholder only; no automatic fee is permitted.</x:v>
      </x:c>
    </x:row>
    <x:row r="114" ht="20" customHeight="1">
      <x:c r="A114" s="41" t="str">
        <x:v>Output</x:v>
      </x:c>
      <x:c r="B114" s="41" t="str">
        <x:v>Closing credits, planning case</x:v>
      </x:c>
      <x:c r="C114" s="42" t="n">
        <x:f>C103+C104+SUM(C105:C113)</x:f>
        <x:v>670</x:v>
      </x:c>
      <x:c r="D114" s="41" t="str">
        <x:v>credits</x:v>
      </x:c>
      <x:c r="E114" s="59" t="str">
        <x:v>Planning close after listed receipts and costs.</x:v>
      </x:c>
    </x:row>
    <x:row r="115" ht="20" customHeight="1">
      <x:c r="A115" s="10" t="str">
        <x:v>Calculation</x:v>
      </x:c>
      <x:c r="B115" s="10" t="str">
        <x:v>Opening credits, downside case</x:v>
      </x:c>
      <x:c r="C115" s="14" t="n">
        <x:f>C87</x:f>
        <x:v>-575</x:v>
      </x:c>
      <x:c r="D115" s="10" t="str">
        <x:v>credits</x:v>
      </x:c>
      <x:c r="E115" s="52" t="str">
        <x:v>Carries the no-receipt/fewer-contracts downside forward.</x:v>
      </x:c>
    </x:row>
    <x:row r="116" ht="20" customHeight="1">
      <x:c r="A116" s="10" t="str">
        <x:v>Calculation</x:v>
      </x:c>
      <x:c r="B116" s="10" t="str">
        <x:v>Contract receipts, downside case</x:v>
      </x:c>
      <x:c r="C116" s="14" t="n">
        <x:f>C96*C97</x:f>
        <x:v>800</x:v>
      </x:c>
      <x:c r="D116" s="10" t="str">
        <x:v>credits</x:v>
      </x:c>
      <x:c r="E116" s="52" t="str">
        <x:v>Only completed, paid contracts create receipts.</x:v>
      </x:c>
    </x:row>
    <x:row r="117" ht="20" customHeight="1">
      <x:c r="A117" s="41" t="str">
        <x:v>Output</x:v>
      </x:c>
      <x:c r="B117" s="41" t="str">
        <x:v>Closing credits, downside case</x:v>
      </x:c>
      <x:c r="C117" s="42" t="n">
        <x:f>C115+C116+SUM(C105:C113)</x:f>
        <x:v>-1210</x:v>
      </x:c>
      <x:c r="D117" s="41" t="str">
        <x:v>credits</x:v>
      </x:c>
      <x:c r="E117" s="59" t="str">
        <x:v>Negative output means the planned commitments need funding.</x:v>
      </x:c>
    </x:row>
    <x:row r="118" ht="20" customHeight="1">
      <x:c r="A118" s="12" t="str">
        <x:v>Output</x:v>
      </x:c>
      <x:c r="B118" s="12" t="str">
        <x:v>Downside funding gap</x:v>
      </x:c>
      <x:c r="C118" s="40" t="n">
        <x:f>MAX(0,-C117)</x:f>
        <x:v>1210</x:v>
      </x:c>
      <x:c r="D118" s="12" t="str">
        <x:v>credits</x:v>
      </x:c>
      <x:c r="E118" s="60" t="str">
        <x:v>Size of the downside shortfall; no borrowing rule is implied.</x:v>
      </x:c>
    </x:row>
    <x:row r="119" ht="20" customHeight="1">
      <x:c r="A119" s="10"/>
      <x:c r="B119" s="10"/>
      <x:c r="C119" s="10"/>
      <x:c r="D119" s="10"/>
      <x:c r="E119" s="52"/>
    </x:row>
    <x:row r="120" ht="20" customHeight="1">
      <x:c r="A120" s="32" t="str">
        <x:v>Stage 5: Large recovery and network work</x:v>
      </x:c>
      <x:c r="B120" s="32"/>
      <x:c r="C120" s="32"/>
      <x:c r="D120" s="32"/>
      <x:c r="E120" s="55"/>
    </x:row>
    <x:row r="121" ht="20" customHeight="1">
      <x:c r="A121" s="35" t="str">
        <x:v>Type</x:v>
      </x:c>
      <x:c r="B121" s="35" t="str">
        <x:v>Driver</x:v>
      </x:c>
      <x:c r="C121" s="35" t="str">
        <x:v>Value</x:v>
      </x:c>
      <x:c r="D121" s="35" t="str">
        <x:v>Unit</x:v>
      </x:c>
      <x:c r="E121" s="56" t="str">
        <x:v>Basis / status</x:v>
      </x:c>
    </x:row>
    <x:row r="122" ht="20" customHeight="1">
      <x:c r="A122" s="10" t="str">
        <x:v>Input</x:v>
      </x:c>
      <x:c r="B122" s="10" t="str">
        <x:v>Period length</x:v>
      </x:c>
      <x:c r="C122" s="39" t="n">
        <x:v>30</x:v>
      </x:c>
      <x:c r="D122" s="10" t="str">
        <x:v>days</x:v>
      </x:c>
      <x:c r="E122" s="52" t="str">
        <x:v>All daily costs use the full 30-day period.</x:v>
      </x:c>
    </x:row>
    <x:row r="123" ht="20" customHeight="1">
      <x:c r="A123" s="10" t="str">
        <x:v>Input</x:v>
      </x:c>
      <x:c r="B123" s="10" t="str">
        <x:v>Active staff</x:v>
      </x:c>
      <x:c r="C123" s="39" t="n">
        <x:v>10</x:v>
      </x:c>
      <x:c r="D123" s="10" t="str">
        <x:v>pawns</x:v>
      </x:c>
      <x:c r="E123" s="52" t="str">
        <x:v>Specialist pay premiums are not modeled.</x:v>
      </x:c>
    </x:row>
    <x:row r="124" ht="20" customHeight="1">
      <x:c r="A124" s="10" t="str">
        <x:v>Input</x:v>
      </x:c>
      <x:c r="B124" s="10" t="str">
        <x:v>New hires</x:v>
      </x:c>
      <x:c r="C124" s="39" t="n">
        <x:v>2</x:v>
      </x:c>
      <x:c r="D124" s="10" t="str">
        <x:v>pawns</x:v>
      </x:c>
      <x:c r="E124" s="52" t="str">
        <x:v>Two new hires begin at the start of the period.</x:v>
      </x:c>
    </x:row>
    <x:row r="125" ht="20" customHeight="1">
      <x:c r="A125" s="10" t="str">
        <x:v>Input</x:v>
      </x:c>
      <x:c r="B125" s="10" t="str">
        <x:v>Contracts paid, planning case</x:v>
      </x:c>
      <x:c r="C125" s="39" t="n">
        <x:v>5</x:v>
      </x:c>
      <x:c r="D125" s="10" t="str">
        <x:v>contracts</x:v>
      </x:c>
      <x:c r="E125" s="52" t="str">
        <x:v>Five completed network/recovery contracts paid in this case.</x:v>
      </x:c>
    </x:row>
    <x:row r="126" ht="20" customHeight="1">
      <x:c r="A126" s="10" t="str">
        <x:v>Input</x:v>
      </x:c>
      <x:c r="B126" s="10" t="str">
        <x:v>Contracts paid, downside case</x:v>
      </x:c>
      <x:c r="C126" s="39" t="n">
        <x:v>2</x:v>
      </x:c>
      <x:c r="D126" s="10" t="str">
        <x:v>contracts</x:v>
      </x:c>
      <x:c r="E126" s="52" t="str">
        <x:v>Three fewer paid contracts; planned costs stay the same.</x:v>
      </x:c>
    </x:row>
    <x:row r="127" ht="20" customHeight="1">
      <x:c r="A127" s="10" t="str">
        <x:v>Input</x:v>
      </x:c>
      <x:c r="B127" s="10" t="str">
        <x:v>Average payment per paid contract</x:v>
      </x:c>
      <x:c r="C127" s="39" t="n">
        <x:v>500</x:v>
      </x:c>
      <x:c r="D127" s="10" t="str">
        <x:v>credits / contract</x:v>
      </x:c>
      <x:c r="E127" s="52" t="str">
        <x:v>Editable average quote; no fixed campaign price is approved.</x:v>
      </x:c>
    </x:row>
    <x:row r="128" ht="20" customHeight="1">
      <x:c r="A128" s="10" t="str">
        <x:v>Input</x:v>
      </x:c>
      <x:c r="B128" s="10" t="str">
        <x:v>Active outpost days</x:v>
      </x:c>
      <x:c r="C128" s="39" t="n">
        <x:v>30</x:v>
      </x:c>
      <x:c r="D128" s="10" t="str">
        <x:v>days</x:v>
      </x:c>
      <x:c r="E128" s="52" t="str">
        <x:v>One outpost operates for the full period.</x:v>
      </x:c>
    </x:row>
    <x:row r="129" ht="20" customHeight="1">
      <x:c r="A129" s="10" t="str">
        <x:v>Input</x:v>
      </x:c>
      <x:c r="B129" s="10" t="str">
        <x:v>Additional company facility days</x:v>
      </x:c>
      <x:c r="C129" s="39" t="n">
        <x:v>0</x:v>
      </x:c>
      <x:c r="D129" s="10" t="str">
        <x:v>days</x:v>
      </x:c>
      <x:c r="E129" s="52" t="str">
        <x:v>No additional company rooms rented.</x:v>
      </x:c>
    </x:row>
    <x:row r="130" ht="20" customHeight="1">
      <x:c r="A130" s="10" t="str">
        <x:v>Input</x:v>
      </x:c>
      <x:c r="B130" s="10" t="str">
        <x:v>Survey-kit restock orders</x:v>
      </x:c>
      <x:c r="C130" s="39" t="n">
        <x:v>2</x:v>
      </x:c>
      <x:c r="D130" s="10" t="str">
        <x:v>orders</x:v>
      </x:c>
      <x:c r="E130" s="52" t="str">
        <x:v>Two physical kit orders, paid once when ordered.</x:v>
      </x:c>
    </x:row>
    <x:row r="131" ht="20" customHeight="1">
      <x:c r="A131" s="10" t="str">
        <x:v>Input</x:v>
      </x:c>
      <x:c r="B131" s="10" t="str">
        <x:v>Research-material orders</x:v>
      </x:c>
      <x:c r="C131" s="39" t="n">
        <x:v>2</x:v>
      </x:c>
      <x:c r="D131" s="10" t="str">
        <x:v>orders</x:v>
      </x:c>
      <x:c r="E131" s="52" t="str">
        <x:v>Two orders of physical research supplies.</x:v>
      </x:c>
    </x:row>
    <x:row r="132" ht="20" customHeight="1">
      <x:c r="A132" s="10" t="str">
        <x:v>Input</x:v>
      </x:c>
      <x:c r="B132" s="10" t="str">
        <x:v>Other quoted support costs</x:v>
      </x:c>
      <x:c r="C132" s="39" t="n">
        <x:v>100</x:v>
      </x:c>
      <x:c r="D132" s="10" t="str">
        <x:v>credits / period</x:v>
      </x:c>
      <x:c r="E132" s="52" t="str">
        <x:v>Unitemized scenario placeholder; replace with accepted quotes.</x:v>
      </x:c>
    </x:row>
    <x:row r="133" ht="20" customHeight="1">
      <x:c r="A133" s="10" t="str">
        <x:v>Calculation</x:v>
      </x:c>
      <x:c r="B133" s="10" t="str">
        <x:v>Opening credits, planning case</x:v>
      </x:c>
      <x:c r="C133" s="14" t="n">
        <x:f>C114</x:f>
        <x:v>670</x:v>
      </x:c>
      <x:c r="D133" s="10" t="str">
        <x:v>credits</x:v>
      </x:c>
      <x:c r="E133" s="52" t="str">
        <x:v>Carries the prior stage balance; no shared-player credits.</x:v>
      </x:c>
    </x:row>
    <x:row r="134" ht="20" customHeight="1">
      <x:c r="A134" s="10" t="str">
        <x:v>Calculation</x:v>
      </x:c>
      <x:c r="B134" s="10" t="str">
        <x:v>Contract receipts, planning case</x:v>
      </x:c>
      <x:c r="C134" s="14" t="n">
        <x:f>C125*C127</x:f>
        <x:v>2500</x:v>
      </x:c>
      <x:c r="D134" s="10" t="str">
        <x:v>credits</x:v>
      </x:c>
      <x:c r="E134" s="52" t="str">
        <x:v>Only completed, paid contracts create receipts.</x:v>
      </x:c>
    </x:row>
    <x:row r="135" ht="20" customHeight="1">
      <x:c r="A135" s="10" t="str">
        <x:v>Calculation</x:v>
      </x:c>
      <x:c r="B135" s="10" t="str">
        <x:v>Payroll</x:v>
      </x:c>
      <x:c r="C135" s="14" t="n">
        <x:f>-(C123*$B$18*C122)</x:f>
        <x:v>-600</x:v>
      </x:c>
      <x:c r="D135" s="10" t="str">
        <x:v>credits</x:v>
      </x:c>
      <x:c r="E135" s="52" t="str">
        <x:v>Full-period staffing at the linked first-slice base rate.</x:v>
      </x:c>
    </x:row>
    <x:row r="136" ht="20" customHeight="1">
      <x:c r="A136" s="10" t="str">
        <x:v>Calculation</x:v>
      </x:c>
      <x:c r="B136" s="10" t="str">
        <x:v>Headquarters overhead</x:v>
      </x:c>
      <x:c r="C136" s="14" t="n">
        <x:f>-(C122*$B$19)</x:f>
        <x:v>-120</x:v>
      </x:c>
      <x:c r="D136" s="10" t="str">
        <x:v>credits</x:v>
      </x:c>
      <x:c r="E136" s="52" t="str">
        <x:v>Linked first-slice rate; not a charge for power draw.</x:v>
      </x:c>
    </x:row>
    <x:row r="137" ht="20" customHeight="1">
      <x:c r="A137" s="10" t="str">
        <x:v>Calculation</x:v>
      </x:c>
      <x:c r="B137" s="10" t="str">
        <x:v>Food replenishment</x:v>
      </x:c>
      <x:c r="C137" s="14" t="n">
        <x:f>-(C123*C122*$B$20)</x:f>
        <x:v>-300</x:v>
      </x:c>
      <x:c r="D137" s="10" t="str">
        <x:v>credits</x:v>
      </x:c>
      <x:c r="E137" s="52" t="str">
        <x:v>Full-period crew food at the linked first-slice rate.</x:v>
      </x:c>
    </x:row>
    <x:row r="138" ht="20" customHeight="1">
      <x:c r="A138" s="10" t="str">
        <x:v>Calculation</x:v>
      </x:c>
      <x:c r="B138" s="10" t="str">
        <x:v>New-hire setup</x:v>
      </x:c>
      <x:c r="C138" s="14" t="n">
        <x:f>-(C124*$B$21)</x:f>
        <x:v>-50</x:v>
      </x:c>
      <x:c r="D138" s="10" t="str">
        <x:v>credits</x:v>
      </x:c>
      <x:c r="E138" s="52" t="str">
        <x:v>Linked one-time onboarding charge for each new hire.</x:v>
      </x:c>
    </x:row>
    <x:row r="139" ht="20" customHeight="1">
      <x:c r="A139" s="10" t="str">
        <x:v>Calculation</x:v>
      </x:c>
      <x:c r="B139" s="10" t="str">
        <x:v>Outpost operation</x:v>
      </x:c>
      <x:c r="C139" s="14" t="n">
        <x:f>-(C128*$B$22)</x:f>
        <x:v>-510</x:v>
      </x:c>
      <x:c r="D139" s="10" t="str">
        <x:v>credits</x:v>
      </x:c>
      <x:c r="E139" s="52" t="str">
        <x:v>Local site/service cost; physical food and wages are separate.</x:v>
      </x:c>
    </x:row>
    <x:row r="140" ht="20" customHeight="1">
      <x:c r="A140" s="10" t="str">
        <x:v>Calculation</x:v>
      </x:c>
      <x:c r="B140" s="10" t="str">
        <x:v>Additional facility rent</x:v>
      </x:c>
      <x:c r="C140" s="14" t="n">
        <x:f>-(C129*$B$23)</x:f>
        <x:v>0</x:v>
      </x:c>
      <x:c r="D140" s="10" t="str">
        <x:v>credits</x:v>
      </x:c>
      <x:c r="E140" s="52" t="str">
        <x:v>Only applies to rented company space, not client lease income.</x:v>
      </x:c>
    </x:row>
    <x:row r="141" ht="20" customHeight="1">
      <x:c r="A141" s="10" t="str">
        <x:v>Calculation</x:v>
      </x:c>
      <x:c r="B141" s="10" t="str">
        <x:v>Survey-kit orders</x:v>
      </x:c>
      <x:c r="C141" s="14" t="n">
        <x:f>-(C130*$B$24)</x:f>
        <x:v>-80</x:v>
      </x:c>
      <x:c r="D141" s="10" t="str">
        <x:v>credits</x:v>
      </x:c>
      <x:c r="E141" s="52" t="str">
        <x:v>Credit order is paid once; physical shipment arrives later.</x:v>
      </x:c>
    </x:row>
    <x:row r="142" ht="20" customHeight="1">
      <x:c r="A142" s="10" t="str">
        <x:v>Calculation</x:v>
      </x:c>
      <x:c r="B142" s="10" t="str">
        <x:v>Research-material orders</x:v>
      </x:c>
      <x:c r="C142" s="14" t="n">
        <x:f>-(C131*$B$25)</x:f>
        <x:v>-40</x:v>
      </x:c>
      <x:c r="D142" s="10" t="str">
        <x:v>credits</x:v>
      </x:c>
      <x:c r="E142" s="52" t="str">
        <x:v>Credit order is paid once; supplies remain physical stock.</x:v>
      </x:c>
    </x:row>
    <x:row r="143" ht="20" customHeight="1">
      <x:c r="A143" s="10" t="str">
        <x:v>Calculation</x:v>
      </x:c>
      <x:c r="B143" s="10" t="str">
        <x:v>Other quoted support costs</x:v>
      </x:c>
      <x:c r="C143" s="14" t="n">
        <x:f>-C132</x:f>
        <x:v>-100</x:v>
      </x:c>
      <x:c r="D143" s="10" t="str">
        <x:v>credits</x:v>
      </x:c>
      <x:c r="E143" s="52" t="str">
        <x:v>Explicit quote placeholder only; no automatic fee is permitted.</x:v>
      </x:c>
    </x:row>
    <x:row r="144" ht="20" customHeight="1">
      <x:c r="A144" s="41" t="str">
        <x:v>Output</x:v>
      </x:c>
      <x:c r="B144" s="41" t="str">
        <x:v>Closing credits, planning case</x:v>
      </x:c>
      <x:c r="C144" s="42" t="n">
        <x:f>C133+C134+SUM(C135:C143)</x:f>
        <x:v>1370</x:v>
      </x:c>
      <x:c r="D144" s="41" t="str">
        <x:v>credits</x:v>
      </x:c>
      <x:c r="E144" s="59" t="str">
        <x:v>Planning close after listed receipts and costs.</x:v>
      </x:c>
    </x:row>
    <x:row r="145" ht="20" customHeight="1">
      <x:c r="A145" s="10" t="str">
        <x:v>Calculation</x:v>
      </x:c>
      <x:c r="B145" s="10" t="str">
        <x:v>Opening credits, downside case</x:v>
      </x:c>
      <x:c r="C145" s="14" t="n">
        <x:f>C117</x:f>
        <x:v>-1210</x:v>
      </x:c>
      <x:c r="D145" s="10" t="str">
        <x:v>credits</x:v>
      </x:c>
      <x:c r="E145" s="52" t="str">
        <x:v>Carries the no-receipt/fewer-contracts downside forward.</x:v>
      </x:c>
    </x:row>
    <x:row r="146" ht="20" customHeight="1">
      <x:c r="A146" s="10" t="str">
        <x:v>Calculation</x:v>
      </x:c>
      <x:c r="B146" s="10" t="str">
        <x:v>Contract receipts, downside case</x:v>
      </x:c>
      <x:c r="C146" s="14" t="n">
        <x:f>C126*C127</x:f>
        <x:v>1000</x:v>
      </x:c>
      <x:c r="D146" s="10" t="str">
        <x:v>credits</x:v>
      </x:c>
      <x:c r="E146" s="52" t="str">
        <x:v>Only completed, paid contracts create receipts.</x:v>
      </x:c>
    </x:row>
    <x:row r="147" ht="20" customHeight="1">
      <x:c r="A147" s="41" t="str">
        <x:v>Output</x:v>
      </x:c>
      <x:c r="B147" s="41" t="str">
        <x:v>Closing credits, downside case</x:v>
      </x:c>
      <x:c r="C147" s="42" t="n">
        <x:f>C145+C146+SUM(C135:C143)</x:f>
        <x:v>-2010</x:v>
      </x:c>
      <x:c r="D147" s="41" t="str">
        <x:v>credits</x:v>
      </x:c>
      <x:c r="E147" s="59" t="str">
        <x:v>Negative output means the planned commitments need funding.</x:v>
      </x:c>
    </x:row>
    <x:row r="148" ht="20" customHeight="1">
      <x:c r="A148" s="12" t="str">
        <x:v>Output</x:v>
      </x:c>
      <x:c r="B148" s="12" t="str">
        <x:v>Downside funding gap</x:v>
      </x:c>
      <x:c r="C148" s="40" t="n">
        <x:f>MAX(0,-C147)</x:f>
        <x:v>2010</x:v>
      </x:c>
      <x:c r="D148" s="12" t="str">
        <x:v>credits</x:v>
      </x:c>
      <x:c r="E148" s="60" t="str">
        <x:v>Size of the downside shortfall; no borrowing rule is implied.</x:v>
      </x:c>
    </x:row>
    <x:row r="149" ht="20" customHeight="1">
      <x:c r="A149" s="10"/>
      <x:c r="B149" s="10"/>
      <x:c r="C149" s="10"/>
      <x:c r="D149" s="10"/>
      <x:c r="E149" s="52"/>
    </x:row>
    <x:row r="150" ht="20" customHeight="1">
      <x:c r="A150" s="32" t="str">
        <x:v>Stage 6: Vehicle and optional orbital support</x:v>
      </x:c>
      <x:c r="B150" s="32"/>
      <x:c r="C150" s="32"/>
      <x:c r="D150" s="32"/>
      <x:c r="E150" s="55"/>
    </x:row>
    <x:row r="151" ht="20" customHeight="1">
      <x:c r="A151" s="35" t="str">
        <x:v>Type</x:v>
      </x:c>
      <x:c r="B151" s="35" t="str">
        <x:v>Driver</x:v>
      </x:c>
      <x:c r="C151" s="35" t="str">
        <x:v>Value</x:v>
      </x:c>
      <x:c r="D151" s="35" t="str">
        <x:v>Unit</x:v>
      </x:c>
      <x:c r="E151" s="56" t="str">
        <x:v>Basis / status</x:v>
      </x:c>
    </x:row>
    <x:row r="152" ht="20" customHeight="1">
      <x:c r="A152" s="10" t="str">
        <x:v>Input</x:v>
      </x:c>
      <x:c r="B152" s="10" t="str">
        <x:v>Period length</x:v>
      </x:c>
      <x:c r="C152" s="39" t="n">
        <x:v>30</x:v>
      </x:c>
      <x:c r="D152" s="10" t="str">
        <x:v>days</x:v>
      </x:c>
      <x:c r="E152" s="52" t="str">
        <x:v>All daily costs use the full 30-day period.</x:v>
      </x:c>
    </x:row>
    <x:row r="153" ht="20" customHeight="1">
      <x:c r="A153" s="10" t="str">
        <x:v>Input</x:v>
      </x:c>
      <x:c r="B153" s="10" t="str">
        <x:v>Active staff</x:v>
      </x:c>
      <x:c r="C153" s="39" t="n">
        <x:v>10</x:v>
      </x:c>
      <x:c r="D153" s="10" t="str">
        <x:v>pawns</x:v>
      </x:c>
      <x:c r="E153" s="52" t="str">
        <x:v>Specialist pay premiums are not modeled.</x:v>
      </x:c>
    </x:row>
    <x:row r="154" ht="20" customHeight="1">
      <x:c r="A154" s="10" t="str">
        <x:v>Input</x:v>
      </x:c>
      <x:c r="B154" s="10" t="str">
        <x:v>New hires</x:v>
      </x:c>
      <x:c r="C154" s="39" t="n">
        <x:v>0</x:v>
      </x:c>
      <x:c r="D154" s="10" t="str">
        <x:v>pawns</x:v>
      </x:c>
      <x:c r="E154" s="52" t="str">
        <x:v>No additional hires in this case.</x:v>
      </x:c>
    </x:row>
    <x:row r="155" ht="20" customHeight="1">
      <x:c r="A155" s="10" t="str">
        <x:v>Input</x:v>
      </x:c>
      <x:c r="B155" s="10" t="str">
        <x:v>Contracts paid, planning case</x:v>
      </x:c>
      <x:c r="C155" s="39" t="n">
        <x:v>5</x:v>
      </x:c>
      <x:c r="D155" s="10" t="str">
        <x:v>contracts</x:v>
      </x:c>
      <x:c r="E155" s="52" t="str">
        <x:v>Five completed transport/recon contracts paid in this case.</x:v>
      </x:c>
    </x:row>
    <x:row r="156" ht="20" customHeight="1">
      <x:c r="A156" s="10" t="str">
        <x:v>Input</x:v>
      </x:c>
      <x:c r="B156" s="10" t="str">
        <x:v>Contracts paid, downside case</x:v>
      </x:c>
      <x:c r="C156" s="39" t="n">
        <x:v>2</x:v>
      </x:c>
      <x:c r="D156" s="10" t="str">
        <x:v>contracts</x:v>
      </x:c>
      <x:c r="E156" s="52" t="str">
        <x:v>Three fewer paid contracts; planned costs stay the same.</x:v>
      </x:c>
    </x:row>
    <x:row r="157" ht="20" customHeight="1">
      <x:c r="A157" s="10" t="str">
        <x:v>Input</x:v>
      </x:c>
      <x:c r="B157" s="10" t="str">
        <x:v>Average payment per paid contract</x:v>
      </x:c>
      <x:c r="C157" s="39" t="n">
        <x:v>600</x:v>
      </x:c>
      <x:c r="D157" s="10" t="str">
        <x:v>credits / contract</x:v>
      </x:c>
      <x:c r="E157" s="52" t="str">
        <x:v>Editable average quote; no fixed campaign price is approved.</x:v>
      </x:c>
    </x:row>
    <x:row r="158" ht="20" customHeight="1">
      <x:c r="A158" s="10" t="str">
        <x:v>Input</x:v>
      </x:c>
      <x:c r="B158" s="10" t="str">
        <x:v>Active outpost days</x:v>
      </x:c>
      <x:c r="C158" s="39" t="n">
        <x:v>30</x:v>
      </x:c>
      <x:c r="D158" s="10" t="str">
        <x:v>days</x:v>
      </x:c>
      <x:c r="E158" s="52" t="str">
        <x:v>One outpost operates for the full period.</x:v>
      </x:c>
    </x:row>
    <x:row r="159" ht="20" customHeight="1">
      <x:c r="A159" s="10" t="str">
        <x:v>Input</x:v>
      </x:c>
      <x:c r="B159" s="10" t="str">
        <x:v>Additional company facility days</x:v>
      </x:c>
      <x:c r="C159" s="39" t="n">
        <x:v>0</x:v>
      </x:c>
      <x:c r="D159" s="10" t="str">
        <x:v>days</x:v>
      </x:c>
      <x:c r="E159" s="52" t="str">
        <x:v>No additional company rooms rented.</x:v>
      </x:c>
    </x:row>
    <x:row r="160" ht="20" customHeight="1">
      <x:c r="A160" s="10" t="str">
        <x:v>Input</x:v>
      </x:c>
      <x:c r="B160" s="10" t="str">
        <x:v>Survey-kit restock orders</x:v>
      </x:c>
      <x:c r="C160" s="39" t="n">
        <x:v>2</x:v>
      </x:c>
      <x:c r="D160" s="10" t="str">
        <x:v>orders</x:v>
      </x:c>
      <x:c r="E160" s="52" t="str">
        <x:v>Two physical kit orders, paid once when ordered.</x:v>
      </x:c>
    </x:row>
    <x:row r="161" ht="20" customHeight="1">
      <x:c r="A161" s="10" t="str">
        <x:v>Input</x:v>
      </x:c>
      <x:c r="B161" s="10" t="str">
        <x:v>Research-material orders</x:v>
      </x:c>
      <x:c r="C161" s="39" t="n">
        <x:v>2</x:v>
      </x:c>
      <x:c r="D161" s="10" t="str">
        <x:v>orders</x:v>
      </x:c>
      <x:c r="E161" s="52" t="str">
        <x:v>Two orders of physical research supplies.</x:v>
      </x:c>
    </x:row>
    <x:row r="162" ht="20" customHeight="1">
      <x:c r="A162" s="10" t="str">
        <x:v>Input</x:v>
      </x:c>
      <x:c r="B162" s="10" t="str">
        <x:v>Other quoted support costs</x:v>
      </x:c>
      <x:c r="C162" s="39" t="n">
        <x:v>300</x:v>
      </x:c>
      <x:c r="D162" s="10" t="str">
        <x:v>credits / period</x:v>
      </x:c>
      <x:c r="E162" s="52" t="str">
        <x:v>Unitemized vehicle/transport placeholder; not a unit price.</x:v>
      </x:c>
    </x:row>
    <x:row r="163" ht="20" customHeight="1">
      <x:c r="A163" s="10" t="str">
        <x:v>Calculation</x:v>
      </x:c>
      <x:c r="B163" s="10" t="str">
        <x:v>Opening credits, planning case</x:v>
      </x:c>
      <x:c r="C163" s="14" t="n">
        <x:f>C144</x:f>
        <x:v>1370</x:v>
      </x:c>
      <x:c r="D163" s="10" t="str">
        <x:v>credits</x:v>
      </x:c>
      <x:c r="E163" s="52" t="str">
        <x:v>Carries the prior stage balance; no shared-player credits.</x:v>
      </x:c>
    </x:row>
    <x:row r="164" ht="20" customHeight="1">
      <x:c r="A164" s="10" t="str">
        <x:v>Calculation</x:v>
      </x:c>
      <x:c r="B164" s="10" t="str">
        <x:v>Contract receipts, planning case</x:v>
      </x:c>
      <x:c r="C164" s="14" t="n">
        <x:f>C155*C157</x:f>
        <x:v>3000</x:v>
      </x:c>
      <x:c r="D164" s="10" t="str">
        <x:v>credits</x:v>
      </x:c>
      <x:c r="E164" s="52" t="str">
        <x:v>Only completed, paid contracts create receipts.</x:v>
      </x:c>
    </x:row>
    <x:row r="165" ht="20" customHeight="1">
      <x:c r="A165" s="10" t="str">
        <x:v>Calculation</x:v>
      </x:c>
      <x:c r="B165" s="10" t="str">
        <x:v>Payroll</x:v>
      </x:c>
      <x:c r="C165" s="14" t="n">
        <x:f>-(C153*$B$18*C152)</x:f>
        <x:v>-600</x:v>
      </x:c>
      <x:c r="D165" s="10" t="str">
        <x:v>credits</x:v>
      </x:c>
      <x:c r="E165" s="52" t="str">
        <x:v>Full-period staffing at the linked first-slice base rate.</x:v>
      </x:c>
    </x:row>
    <x:row r="166" ht="20" customHeight="1">
      <x:c r="A166" s="10" t="str">
        <x:v>Calculation</x:v>
      </x:c>
      <x:c r="B166" s="10" t="str">
        <x:v>Headquarters overhead</x:v>
      </x:c>
      <x:c r="C166" s="14" t="n">
        <x:f>-(C152*$B$19)</x:f>
        <x:v>-120</x:v>
      </x:c>
      <x:c r="D166" s="10" t="str">
        <x:v>credits</x:v>
      </x:c>
      <x:c r="E166" s="52" t="str">
        <x:v>Linked first-slice rate; not a charge for power draw.</x:v>
      </x:c>
    </x:row>
    <x:row r="167" ht="20" customHeight="1">
      <x:c r="A167" s="10" t="str">
        <x:v>Calculation</x:v>
      </x:c>
      <x:c r="B167" s="10" t="str">
        <x:v>Food replenishment</x:v>
      </x:c>
      <x:c r="C167" s="14" t="n">
        <x:f>-(C153*C152*$B$20)</x:f>
        <x:v>-300</x:v>
      </x:c>
      <x:c r="D167" s="10" t="str">
        <x:v>credits</x:v>
      </x:c>
      <x:c r="E167" s="52" t="str">
        <x:v>Full-period crew food at the linked first-slice rate.</x:v>
      </x:c>
    </x:row>
    <x:row r="168" ht="20" customHeight="1">
      <x:c r="A168" s="10" t="str">
        <x:v>Calculation</x:v>
      </x:c>
      <x:c r="B168" s="10" t="str">
        <x:v>New-hire setup</x:v>
      </x:c>
      <x:c r="C168" s="14" t="n">
        <x:f>-(C154*$B$21)</x:f>
        <x:v>0</x:v>
      </x:c>
      <x:c r="D168" s="10" t="str">
        <x:v>credits</x:v>
      </x:c>
      <x:c r="E168" s="52" t="str">
        <x:v>Linked one-time onboarding charge for each new hire.</x:v>
      </x:c>
    </x:row>
    <x:row r="169" ht="20" customHeight="1">
      <x:c r="A169" s="10" t="str">
        <x:v>Calculation</x:v>
      </x:c>
      <x:c r="B169" s="10" t="str">
        <x:v>Outpost operation</x:v>
      </x:c>
      <x:c r="C169" s="14" t="n">
        <x:f>-(C158*$B$22)</x:f>
        <x:v>-510</x:v>
      </x:c>
      <x:c r="D169" s="10" t="str">
        <x:v>credits</x:v>
      </x:c>
      <x:c r="E169" s="52" t="str">
        <x:v>Local site/service cost; physical food and wages are separate.</x:v>
      </x:c>
    </x:row>
    <x:row r="170" ht="20" customHeight="1">
      <x:c r="A170" s="10" t="str">
        <x:v>Calculation</x:v>
      </x:c>
      <x:c r="B170" s="10" t="str">
        <x:v>Additional facility rent</x:v>
      </x:c>
      <x:c r="C170" s="14" t="n">
        <x:f>-(C159*$B$23)</x:f>
        <x:v>0</x:v>
      </x:c>
      <x:c r="D170" s="10" t="str">
        <x:v>credits</x:v>
      </x:c>
      <x:c r="E170" s="52" t="str">
        <x:v>Only applies to rented company space, not client lease income.</x:v>
      </x:c>
    </x:row>
    <x:row r="171" ht="20" customHeight="1">
      <x:c r="A171" s="10" t="str">
        <x:v>Calculation</x:v>
      </x:c>
      <x:c r="B171" s="10" t="str">
        <x:v>Survey-kit orders</x:v>
      </x:c>
      <x:c r="C171" s="14" t="n">
        <x:f>-(C160*$B$24)</x:f>
        <x:v>-80</x:v>
      </x:c>
      <x:c r="D171" s="10" t="str">
        <x:v>credits</x:v>
      </x:c>
      <x:c r="E171" s="52" t="str">
        <x:v>Credit order is paid once; physical shipment arrives later.</x:v>
      </x:c>
    </x:row>
    <x:row r="172" ht="20" customHeight="1">
      <x:c r="A172" s="10" t="str">
        <x:v>Calculation</x:v>
      </x:c>
      <x:c r="B172" s="10" t="str">
        <x:v>Research-material orders</x:v>
      </x:c>
      <x:c r="C172" s="14" t="n">
        <x:f>-(C161*$B$25)</x:f>
        <x:v>-40</x:v>
      </x:c>
      <x:c r="D172" s="10" t="str">
        <x:v>credits</x:v>
      </x:c>
      <x:c r="E172" s="52" t="str">
        <x:v>Credit order is paid once; supplies remain physical stock.</x:v>
      </x:c>
    </x:row>
    <x:row r="173" ht="20" customHeight="1">
      <x:c r="A173" s="10" t="str">
        <x:v>Calculation</x:v>
      </x:c>
      <x:c r="B173" s="10" t="str">
        <x:v>Other quoted support costs</x:v>
      </x:c>
      <x:c r="C173" s="14" t="n">
        <x:f>-C162</x:f>
        <x:v>-300</x:v>
      </x:c>
      <x:c r="D173" s="10" t="str">
        <x:v>credits</x:v>
      </x:c>
      <x:c r="E173" s="52" t="str">
        <x:v>Explicit quote placeholder only; no automatic fee is permitted.</x:v>
      </x:c>
    </x:row>
    <x:row r="174" ht="20" customHeight="1">
      <x:c r="A174" s="41" t="str">
        <x:v>Output</x:v>
      </x:c>
      <x:c r="B174" s="41" t="str">
        <x:v>Closing credits, planning case</x:v>
      </x:c>
      <x:c r="C174" s="42" t="n">
        <x:f>C163+C164+SUM(C165:C173)</x:f>
        <x:v>2420</x:v>
      </x:c>
      <x:c r="D174" s="41" t="str">
        <x:v>credits</x:v>
      </x:c>
      <x:c r="E174" s="59" t="str">
        <x:v>Planning close after listed receipts and costs.</x:v>
      </x:c>
    </x:row>
    <x:row r="175" ht="20" customHeight="1">
      <x:c r="A175" s="10" t="str">
        <x:v>Calculation</x:v>
      </x:c>
      <x:c r="B175" s="10" t="str">
        <x:v>Opening credits, downside case</x:v>
      </x:c>
      <x:c r="C175" s="14" t="n">
        <x:f>C147</x:f>
        <x:v>-2010</x:v>
      </x:c>
      <x:c r="D175" s="10" t="str">
        <x:v>credits</x:v>
      </x:c>
      <x:c r="E175" s="52" t="str">
        <x:v>Carries the no-receipt/fewer-contracts downside forward.</x:v>
      </x:c>
    </x:row>
    <x:row r="176" ht="20" customHeight="1">
      <x:c r="A176" s="10" t="str">
        <x:v>Calculation</x:v>
      </x:c>
      <x:c r="B176" s="10" t="str">
        <x:v>Contract receipts, downside case</x:v>
      </x:c>
      <x:c r="C176" s="14" t="n">
        <x:f>C156*C157</x:f>
        <x:v>1200</x:v>
      </x:c>
      <x:c r="D176" s="10" t="str">
        <x:v>credits</x:v>
      </x:c>
      <x:c r="E176" s="52" t="str">
        <x:v>Only completed, paid contracts create receipts.</x:v>
      </x:c>
    </x:row>
    <x:row r="177" ht="20" customHeight="1">
      <x:c r="A177" s="41" t="str">
        <x:v>Output</x:v>
      </x:c>
      <x:c r="B177" s="41" t="str">
        <x:v>Closing credits, downside case</x:v>
      </x:c>
      <x:c r="C177" s="42" t="n">
        <x:f>C175+C176+SUM(C165:C173)</x:f>
        <x:v>-2760</x:v>
      </x:c>
      <x:c r="D177" s="41" t="str">
        <x:v>credits</x:v>
      </x:c>
      <x:c r="E177" s="59" t="str">
        <x:v>Negative output means the planned commitments need funding.</x:v>
      </x:c>
    </x:row>
    <x:row r="178" ht="20" customHeight="1">
      <x:c r="A178" s="12" t="str">
        <x:v>Output</x:v>
      </x:c>
      <x:c r="B178" s="12" t="str">
        <x:v>Downside funding gap</x:v>
      </x:c>
      <x:c r="C178" s="40" t="n">
        <x:f>MAX(0,-C177)</x:f>
        <x:v>2760</x:v>
      </x:c>
      <x:c r="D178" s="12" t="str">
        <x:v>credits</x:v>
      </x:c>
      <x:c r="E178" s="60" t="str">
        <x:v>Size of the downside shortfall; no borrowing rule is implied.</x:v>
      </x:c>
    </x:row>
    <x:row r="179" ht="20" customHeight="1">
      <x:c r="A179" s="10"/>
      <x:c r="B179" s="10"/>
      <x:c r="C179" s="10"/>
      <x:c r="D179" s="10"/>
      <x:c r="E179" s="52"/>
    </x:row>
    <x:row r="180" ht="20" customHeight="1">
      <x:c r="A180" s="32" t="str">
        <x:v>Stage 7: Deep-site operations</x:v>
      </x:c>
      <x:c r="B180" s="32"/>
      <x:c r="C180" s="32"/>
      <x:c r="D180" s="32"/>
      <x:c r="E180" s="55"/>
    </x:row>
    <x:row r="181" ht="20" customHeight="1">
      <x:c r="A181" s="35" t="str">
        <x:v>Type</x:v>
      </x:c>
      <x:c r="B181" s="35" t="str">
        <x:v>Driver</x:v>
      </x:c>
      <x:c r="C181" s="35" t="str">
        <x:v>Value</x:v>
      </x:c>
      <x:c r="D181" s="35" t="str">
        <x:v>Unit</x:v>
      </x:c>
      <x:c r="E181" s="56" t="str">
        <x:v>Basis / status</x:v>
      </x:c>
    </x:row>
    <x:row r="182" ht="20" customHeight="1">
      <x:c r="A182" s="10" t="str">
        <x:v>Input</x:v>
      </x:c>
      <x:c r="B182" s="10" t="str">
        <x:v>Period length</x:v>
      </x:c>
      <x:c r="C182" s="39" t="n">
        <x:v>30</x:v>
      </x:c>
      <x:c r="D182" s="10" t="str">
        <x:v>days</x:v>
      </x:c>
      <x:c r="E182" s="52" t="str">
        <x:v>All daily costs use the full 30-day period.</x:v>
      </x:c>
    </x:row>
    <x:row r="183" ht="20" customHeight="1">
      <x:c r="A183" s="10" t="str">
        <x:v>Input</x:v>
      </x:c>
      <x:c r="B183" s="10" t="str">
        <x:v>Active staff</x:v>
      </x:c>
      <x:c r="C183" s="39" t="n">
        <x:v>12</x:v>
      </x:c>
      <x:c r="D183" s="10" t="str">
        <x:v>pawns</x:v>
      </x:c>
      <x:c r="E183" s="52" t="str">
        <x:v>Specialist pay premiums are not modeled.</x:v>
      </x:c>
    </x:row>
    <x:row r="184" ht="20" customHeight="1">
      <x:c r="A184" s="10" t="str">
        <x:v>Input</x:v>
      </x:c>
      <x:c r="B184" s="10" t="str">
        <x:v>New hires</x:v>
      </x:c>
      <x:c r="C184" s="39" t="n">
        <x:v>2</x:v>
      </x:c>
      <x:c r="D184" s="10" t="str">
        <x:v>pawns</x:v>
      </x:c>
      <x:c r="E184" s="52" t="str">
        <x:v>Two new hires begin at the start of the period.</x:v>
      </x:c>
    </x:row>
    <x:row r="185" ht="20" customHeight="1">
      <x:c r="A185" s="10" t="str">
        <x:v>Input</x:v>
      </x:c>
      <x:c r="B185" s="10" t="str">
        <x:v>Contracts paid, planning case</x:v>
      </x:c>
      <x:c r="C185" s="39" t="n">
        <x:v>4</x:v>
      </x:c>
      <x:c r="D185" s="10" t="str">
        <x:v>contracts</x:v>
      </x:c>
      <x:c r="E185" s="52" t="str">
        <x:v>Four completed deep-site contracts paid in this case.</x:v>
      </x:c>
    </x:row>
    <x:row r="186" ht="20" customHeight="1">
      <x:c r="A186" s="10" t="str">
        <x:v>Input</x:v>
      </x:c>
      <x:c r="B186" s="10" t="str">
        <x:v>Contracts paid, downside case</x:v>
      </x:c>
      <x:c r="C186" s="39" t="n">
        <x:v>1</x:v>
      </x:c>
      <x:c r="D186" s="10" t="str">
        <x:v>contracts</x:v>
      </x:c>
      <x:c r="E186" s="52" t="str">
        <x:v>Three fewer paid contracts; planned costs stay the same.</x:v>
      </x:c>
    </x:row>
    <x:row r="187" ht="20" customHeight="1">
      <x:c r="A187" s="10" t="str">
        <x:v>Input</x:v>
      </x:c>
      <x:c r="B187" s="10" t="str">
        <x:v>Average payment per paid contract</x:v>
      </x:c>
      <x:c r="C187" s="39" t="n">
        <x:v>800</x:v>
      </x:c>
      <x:c r="D187" s="10" t="str">
        <x:v>credits / contract</x:v>
      </x:c>
      <x:c r="E187" s="52" t="str">
        <x:v>Editable average quote; no fixed campaign price is approved.</x:v>
      </x:c>
    </x:row>
    <x:row r="188" ht="20" customHeight="1">
      <x:c r="A188" s="10" t="str">
        <x:v>Input</x:v>
      </x:c>
      <x:c r="B188" s="10" t="str">
        <x:v>Active outpost days</x:v>
      </x:c>
      <x:c r="C188" s="39" t="n">
        <x:v>30</x:v>
      </x:c>
      <x:c r="D188" s="10" t="str">
        <x:v>days</x:v>
      </x:c>
      <x:c r="E188" s="52" t="str">
        <x:v>One outpost operates for the full period.</x:v>
      </x:c>
    </x:row>
    <x:row r="189" ht="20" customHeight="1">
      <x:c r="A189" s="10" t="str">
        <x:v>Input</x:v>
      </x:c>
      <x:c r="B189" s="10" t="str">
        <x:v>Additional company facility days</x:v>
      </x:c>
      <x:c r="C189" s="39" t="n">
        <x:v>0</x:v>
      </x:c>
      <x:c r="D189" s="10" t="str">
        <x:v>days</x:v>
      </x:c>
      <x:c r="E189" s="52" t="str">
        <x:v>No additional company rooms rented.</x:v>
      </x:c>
    </x:row>
    <x:row r="190" ht="20" customHeight="1">
      <x:c r="A190" s="10" t="str">
        <x:v>Input</x:v>
      </x:c>
      <x:c r="B190" s="10" t="str">
        <x:v>Survey-kit restock orders</x:v>
      </x:c>
      <x:c r="C190" s="39" t="n">
        <x:v>3</x:v>
      </x:c>
      <x:c r="D190" s="10" t="str">
        <x:v>orders</x:v>
      </x:c>
      <x:c r="E190" s="52" t="str">
        <x:v>Three physical kit orders, paid once when ordered.</x:v>
      </x:c>
    </x:row>
    <x:row r="191" ht="20" customHeight="1">
      <x:c r="A191" s="10" t="str">
        <x:v>Input</x:v>
      </x:c>
      <x:c r="B191" s="10" t="str">
        <x:v>Research-material orders</x:v>
      </x:c>
      <x:c r="C191" s="39" t="n">
        <x:v>3</x:v>
      </x:c>
      <x:c r="D191" s="10" t="str">
        <x:v>orders</x:v>
      </x:c>
      <x:c r="E191" s="52" t="str">
        <x:v>Three orders of physical research supplies.</x:v>
      </x:c>
    </x:row>
    <x:row r="192" ht="20" customHeight="1">
      <x:c r="A192" s="10" t="str">
        <x:v>Input</x:v>
      </x:c>
      <x:c r="B192" s="10" t="str">
        <x:v>Other quoted support costs</x:v>
      </x:c>
      <x:c r="C192" s="39" t="n">
        <x:v>500</x:v>
      </x:c>
      <x:c r="D192" s="10" t="str">
        <x:v>credits / period</x:v>
      </x:c>
      <x:c r="E192" s="52" t="str">
        <x:v>Unitemized stabilization/recovery placeholder; replace with quotes.</x:v>
      </x:c>
    </x:row>
    <x:row r="193" ht="20" customHeight="1">
      <x:c r="A193" s="10" t="str">
        <x:v>Calculation</x:v>
      </x:c>
      <x:c r="B193" s="10" t="str">
        <x:v>Opening credits, planning case</x:v>
      </x:c>
      <x:c r="C193" s="14" t="n">
        <x:f>C174</x:f>
        <x:v>2420</x:v>
      </x:c>
      <x:c r="D193" s="10" t="str">
        <x:v>credits</x:v>
      </x:c>
      <x:c r="E193" s="52" t="str">
        <x:v>Carries the prior stage balance; no shared-player credits.</x:v>
      </x:c>
    </x:row>
    <x:row r="194" ht="20" customHeight="1">
      <x:c r="A194" s="10" t="str">
        <x:v>Calculation</x:v>
      </x:c>
      <x:c r="B194" s="10" t="str">
        <x:v>Contract receipts, planning case</x:v>
      </x:c>
      <x:c r="C194" s="14" t="n">
        <x:f>C185*C187</x:f>
        <x:v>3200</x:v>
      </x:c>
      <x:c r="D194" s="10" t="str">
        <x:v>credits</x:v>
      </x:c>
      <x:c r="E194" s="52" t="str">
        <x:v>Only completed, paid contracts create receipts.</x:v>
      </x:c>
    </x:row>
    <x:row r="195" ht="20" customHeight="1">
      <x:c r="A195" s="10" t="str">
        <x:v>Calculation</x:v>
      </x:c>
      <x:c r="B195" s="10" t="str">
        <x:v>Payroll</x:v>
      </x:c>
      <x:c r="C195" s="14" t="n">
        <x:f>-(C183*$B$18*C182)</x:f>
        <x:v>-720</x:v>
      </x:c>
      <x:c r="D195" s="10" t="str">
        <x:v>credits</x:v>
      </x:c>
      <x:c r="E195" s="52" t="str">
        <x:v>Full-period staffing at the linked first-slice base rate.</x:v>
      </x:c>
    </x:row>
    <x:row r="196" ht="20" customHeight="1">
      <x:c r="A196" s="10" t="str">
        <x:v>Calculation</x:v>
      </x:c>
      <x:c r="B196" s="10" t="str">
        <x:v>Headquarters overhead</x:v>
      </x:c>
      <x:c r="C196" s="14" t="n">
        <x:f>-(C182*$B$19)</x:f>
        <x:v>-120</x:v>
      </x:c>
      <x:c r="D196" s="10" t="str">
        <x:v>credits</x:v>
      </x:c>
      <x:c r="E196" s="52" t="str">
        <x:v>Linked first-slice rate; not a charge for power draw.</x:v>
      </x:c>
    </x:row>
    <x:row r="197" ht="20" customHeight="1">
      <x:c r="A197" s="10" t="str">
        <x:v>Calculation</x:v>
      </x:c>
      <x:c r="B197" s="10" t="str">
        <x:v>Food replenishment</x:v>
      </x:c>
      <x:c r="C197" s="14" t="n">
        <x:f>-(C183*C182*$B$20)</x:f>
        <x:v>-360</x:v>
      </x:c>
      <x:c r="D197" s="10" t="str">
        <x:v>credits</x:v>
      </x:c>
      <x:c r="E197" s="52" t="str">
        <x:v>Full-period crew food at the linked first-slice rate.</x:v>
      </x:c>
    </x:row>
    <x:row r="198" ht="20" customHeight="1">
      <x:c r="A198" s="10" t="str">
        <x:v>Calculation</x:v>
      </x:c>
      <x:c r="B198" s="10" t="str">
        <x:v>New-hire setup</x:v>
      </x:c>
      <x:c r="C198" s="14" t="n">
        <x:f>-(C184*$B$21)</x:f>
        <x:v>-50</x:v>
      </x:c>
      <x:c r="D198" s="10" t="str">
        <x:v>credits</x:v>
      </x:c>
      <x:c r="E198" s="52" t="str">
        <x:v>Linked one-time onboarding charge for each new hire.</x:v>
      </x:c>
    </x:row>
    <x:row r="199" ht="20" customHeight="1">
      <x:c r="A199" s="10" t="str">
        <x:v>Calculation</x:v>
      </x:c>
      <x:c r="B199" s="10" t="str">
        <x:v>Outpost operation</x:v>
      </x:c>
      <x:c r="C199" s="14" t="n">
        <x:f>-(C188*$B$22)</x:f>
        <x:v>-510</x:v>
      </x:c>
      <x:c r="D199" s="10" t="str">
        <x:v>credits</x:v>
      </x:c>
      <x:c r="E199" s="52" t="str">
        <x:v>Local site/service cost; physical food and wages are separate.</x:v>
      </x:c>
    </x:row>
    <x:row r="200" ht="20" customHeight="1">
      <x:c r="A200" s="10" t="str">
        <x:v>Calculation</x:v>
      </x:c>
      <x:c r="B200" s="10" t="str">
        <x:v>Additional facility rent</x:v>
      </x:c>
      <x:c r="C200" s="14" t="n">
        <x:f>-(C189*$B$23)</x:f>
        <x:v>0</x:v>
      </x:c>
      <x:c r="D200" s="10" t="str">
        <x:v>credits</x:v>
      </x:c>
      <x:c r="E200" s="52" t="str">
        <x:v>Only applies to rented company space, not client lease income.</x:v>
      </x:c>
    </x:row>
    <x:row r="201" ht="20" customHeight="1">
      <x:c r="A201" s="10" t="str">
        <x:v>Calculation</x:v>
      </x:c>
      <x:c r="B201" s="10" t="str">
        <x:v>Survey-kit orders</x:v>
      </x:c>
      <x:c r="C201" s="14" t="n">
        <x:f>-(C190*$B$24)</x:f>
        <x:v>-120</x:v>
      </x:c>
      <x:c r="D201" s="10" t="str">
        <x:v>credits</x:v>
      </x:c>
      <x:c r="E201" s="52" t="str">
        <x:v>Credit order is paid once; physical shipment arrives later.</x:v>
      </x:c>
    </x:row>
    <x:row r="202" ht="20" customHeight="1">
      <x:c r="A202" s="10" t="str">
        <x:v>Calculation</x:v>
      </x:c>
      <x:c r="B202" s="10" t="str">
        <x:v>Research-material orders</x:v>
      </x:c>
      <x:c r="C202" s="14" t="n">
        <x:f>-(C191*$B$25)</x:f>
        <x:v>-60</x:v>
      </x:c>
      <x:c r="D202" s="10" t="str">
        <x:v>credits</x:v>
      </x:c>
      <x:c r="E202" s="52" t="str">
        <x:v>Credit order is paid once; supplies remain physical stock.</x:v>
      </x:c>
    </x:row>
    <x:row r="203" ht="20" customHeight="1">
      <x:c r="A203" s="10" t="str">
        <x:v>Calculation</x:v>
      </x:c>
      <x:c r="B203" s="10" t="str">
        <x:v>Other quoted support costs</x:v>
      </x:c>
      <x:c r="C203" s="14" t="n">
        <x:f>-C192</x:f>
        <x:v>-500</x:v>
      </x:c>
      <x:c r="D203" s="10" t="str">
        <x:v>credits</x:v>
      </x:c>
      <x:c r="E203" s="52" t="str">
        <x:v>Explicit quote placeholder only; no automatic fee is permitted.</x:v>
      </x:c>
    </x:row>
    <x:row r="204" ht="20" customHeight="1">
      <x:c r="A204" s="41" t="str">
        <x:v>Output</x:v>
      </x:c>
      <x:c r="B204" s="41" t="str">
        <x:v>Closing credits, planning case</x:v>
      </x:c>
      <x:c r="C204" s="42" t="n">
        <x:f>C193+C194+SUM(C195:C203)</x:f>
        <x:v>3180</x:v>
      </x:c>
      <x:c r="D204" s="41" t="str">
        <x:v>credits</x:v>
      </x:c>
      <x:c r="E204" s="59" t="str">
        <x:v>Planning close after listed receipts and costs.</x:v>
      </x:c>
    </x:row>
    <x:row r="205" ht="20" customHeight="1">
      <x:c r="A205" s="10" t="str">
        <x:v>Calculation</x:v>
      </x:c>
      <x:c r="B205" s="10" t="str">
        <x:v>Opening credits, downside case</x:v>
      </x:c>
      <x:c r="C205" s="14" t="n">
        <x:f>C177</x:f>
        <x:v>-2760</x:v>
      </x:c>
      <x:c r="D205" s="10" t="str">
        <x:v>credits</x:v>
      </x:c>
      <x:c r="E205" s="52" t="str">
        <x:v>Carries the no-receipt/fewer-contracts downside forward.</x:v>
      </x:c>
    </x:row>
    <x:row r="206" ht="20" customHeight="1">
      <x:c r="A206" s="10" t="str">
        <x:v>Calculation</x:v>
      </x:c>
      <x:c r="B206" s="10" t="str">
        <x:v>Contract receipts, downside case</x:v>
      </x:c>
      <x:c r="C206" s="14" t="n">
        <x:f>C186*C187</x:f>
        <x:v>800</x:v>
      </x:c>
      <x:c r="D206" s="10" t="str">
        <x:v>credits</x:v>
      </x:c>
      <x:c r="E206" s="52" t="str">
        <x:v>Only completed, paid contracts create receipts.</x:v>
      </x:c>
    </x:row>
    <x:row r="207" ht="20" customHeight="1">
      <x:c r="A207" s="41" t="str">
        <x:v>Output</x:v>
      </x:c>
      <x:c r="B207" s="41" t="str">
        <x:v>Closing credits, downside case</x:v>
      </x:c>
      <x:c r="C207" s="42" t="n">
        <x:f>C205+C206+SUM(C195:C203)</x:f>
        <x:v>-4400</x:v>
      </x:c>
      <x:c r="D207" s="41" t="str">
        <x:v>credits</x:v>
      </x:c>
      <x:c r="E207" s="59" t="str">
        <x:v>Negative output means the planned commitments need funding.</x:v>
      </x:c>
    </x:row>
    <x:row r="208" ht="20" customHeight="1">
      <x:c r="A208" s="12" t="str">
        <x:v>Output</x:v>
      </x:c>
      <x:c r="B208" s="12" t="str">
        <x:v>Downside funding gap</x:v>
      </x:c>
      <x:c r="C208" s="40" t="n">
        <x:f>MAX(0,-C207)</x:f>
        <x:v>4400</x:v>
      </x:c>
      <x:c r="D208" s="12" t="str">
        <x:v>credits</x:v>
      </x:c>
      <x:c r="E208" s="60" t="str">
        <x:v>Size of the downside shortfall; no borrowing rule is implied.</x:v>
      </x:c>
    </x:row>
  </x:sheetData>
  <x:pageMargins left="0.7" right="0.7" top="0.75" bottom="0.75" header="0.3" footer="0.3"/>
</x:worksheet>
</file>